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\Videos\Week3Tasks\Week3-Task6\"/>
    </mc:Choice>
  </mc:AlternateContent>
  <xr:revisionPtr revIDLastSave="0" documentId="13_ncr:1_{29D7BF28-9BBA-42B8-98EE-92EB579B090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ADME" sheetId="1" r:id="rId1"/>
    <sheet name="Capacity Plan" sheetId="2" r:id="rId2"/>
    <sheet name="Pipeline" sheetId="3" r:id="rId3"/>
    <sheet name="Gloss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2" i="2" l="1"/>
  <c r="F81" i="2" s="1"/>
  <c r="F31" i="2"/>
  <c r="F34" i="2" s="1"/>
  <c r="D92" i="2" l="1"/>
  <c r="E92" i="2"/>
  <c r="B92" i="2"/>
  <c r="F39" i="2"/>
  <c r="C92" i="2"/>
  <c r="B91" i="2"/>
  <c r="C91" i="2"/>
  <c r="F67" i="2"/>
  <c r="F68" i="2" s="1"/>
  <c r="F83" i="2" s="1"/>
  <c r="D91" i="2"/>
  <c r="E91" i="2"/>
  <c r="F45" i="2"/>
  <c r="F46" i="2" s="1"/>
  <c r="F35" i="2"/>
  <c r="F32" i="2"/>
  <c r="F33" i="2"/>
  <c r="F36" i="2" l="1"/>
  <c r="F47" i="2"/>
  <c r="F66" i="2" s="1"/>
  <c r="F78" i="2" s="1"/>
  <c r="F37" i="2"/>
  <c r="C93" i="2"/>
  <c r="E93" i="2"/>
  <c r="D93" i="2"/>
  <c r="B93" i="2"/>
  <c r="F40" i="2"/>
  <c r="F48" i="2"/>
  <c r="F38" i="2"/>
  <c r="F42" i="2" s="1"/>
  <c r="D95" i="2" l="1"/>
  <c r="C95" i="2"/>
  <c r="F57" i="2"/>
  <c r="B95" i="2"/>
  <c r="F71" i="2"/>
  <c r="F69" i="2"/>
  <c r="F70" i="2" s="1"/>
  <c r="F82" i="2" s="1"/>
  <c r="F65" i="2"/>
  <c r="E95" i="2"/>
  <c r="F49" i="2"/>
  <c r="F50" i="2" s="1"/>
  <c r="F51" i="2" s="1"/>
  <c r="E96" i="2"/>
  <c r="D96" i="2"/>
  <c r="C96" i="2"/>
  <c r="B96" i="2"/>
  <c r="E94" i="2"/>
  <c r="D94" i="2"/>
  <c r="B94" i="2"/>
  <c r="C94" i="2"/>
  <c r="F41" i="2"/>
  <c r="D100" i="2" l="1"/>
  <c r="C100" i="2"/>
  <c r="F60" i="2"/>
  <c r="F80" i="2" s="1"/>
  <c r="B100" i="2"/>
  <c r="F59" i="2"/>
  <c r="F58" i="2"/>
  <c r="E100" i="2"/>
  <c r="C97" i="2"/>
  <c r="F52" i="2"/>
  <c r="D97" i="2"/>
  <c r="E97" i="2"/>
  <c r="B97" i="2"/>
  <c r="F76" i="2"/>
  <c r="E101" i="2"/>
  <c r="D101" i="2"/>
  <c r="C101" i="2"/>
  <c r="B101" i="2"/>
  <c r="F53" i="2" l="1"/>
  <c r="E98" i="2"/>
  <c r="D98" i="2"/>
  <c r="F54" i="2"/>
  <c r="C98" i="2"/>
  <c r="B98" i="2"/>
  <c r="F63" i="2" l="1"/>
  <c r="F64" i="2" s="1"/>
  <c r="C99" i="2"/>
  <c r="E99" i="2"/>
  <c r="D99" i="2"/>
  <c r="B99" i="2"/>
  <c r="F79" i="2"/>
  <c r="F77" i="2" l="1"/>
  <c r="F84" i="2" s="1"/>
  <c r="E102" i="2"/>
  <c r="D102" i="2"/>
  <c r="C102" i="2"/>
  <c r="B102" i="2"/>
  <c r="F73" i="2"/>
  <c r="E103" i="2" l="1"/>
  <c r="D103" i="2"/>
  <c r="C103" i="2"/>
  <c r="B103" i="2"/>
  <c r="F85" i="2"/>
  <c r="E104" i="2"/>
  <c r="D104" i="2"/>
  <c r="C104" i="2"/>
  <c r="B104" i="2"/>
  <c r="F86" i="2"/>
  <c r="E105" i="2" l="1"/>
  <c r="D105" i="2"/>
  <c r="C105" i="2"/>
  <c r="B105" i="2"/>
</calcChain>
</file>

<file path=xl/sharedStrings.xml><?xml version="1.0" encoding="utf-8"?>
<sst xmlns="http://schemas.openxmlformats.org/spreadsheetml/2006/main" count="471" uniqueCount="395">
  <si>
    <t>UBER CAPACITY PLANNING WORKBOOK</t>
  </si>
  <si>
    <t>Purpose</t>
  </si>
  <si>
    <t>Production-grade capacity plan for Uber's global ride-hailing platform at 100M DAU baseline.</t>
  </si>
  <si>
    <t>Generated</t>
  </si>
  <si>
    <t>Auto-generated via Python / openpyxl</t>
  </si>
  <si>
    <t>COLOR CODING LEGEND</t>
  </si>
  <si>
    <t>Yellow fill + Blue bold text</t>
  </si>
  <si>
    <t>Editable INPUT cells (Section A only) — change these to model scenarios</t>
  </si>
  <si>
    <t>White fill + Black text</t>
  </si>
  <si>
    <t>Formula / calculated cells — do not edit directly</t>
  </si>
  <si>
    <t>Green fill + White bold text</t>
  </si>
  <si>
    <t>Key HEADLINE metrics</t>
  </si>
  <si>
    <t>Light grey fill</t>
  </si>
  <si>
    <t>Section headers / category labels</t>
  </si>
  <si>
    <t>SHEETS IN THIS WORKBOOK</t>
  </si>
  <si>
    <t>README</t>
  </si>
  <si>
    <t>This sheet — instructions and color legend</t>
  </si>
  <si>
    <t>Capacity Plan</t>
  </si>
  <si>
    <t>Main model: inputs (Sec A), metrics (Sec B), growth (Sec C), architecture (Sec D)</t>
  </si>
  <si>
    <t>Pipeline</t>
  </si>
  <si>
    <t>Step-by-step ride booking data flow</t>
  </si>
  <si>
    <t>Glossary</t>
  </si>
  <si>
    <t>25+ key terms, definitions, and formulas</t>
  </si>
  <si>
    <t>HOW TO USE</t>
  </si>
  <si>
    <t>Step 1</t>
  </si>
  <si>
    <t>Go to 'Capacity Plan' sheet → Section A (yellow cells)</t>
  </si>
  <si>
    <t>Step 2</t>
  </si>
  <si>
    <t>Adjust DAU, writes/user, reads/user, peak multiplier, sizes, replication, retention</t>
  </si>
  <si>
    <t>Step 3</t>
  </si>
  <si>
    <t>All Section B metrics recalculate automatically</t>
  </si>
  <si>
    <t>Step 4</t>
  </si>
  <si>
    <t>Section C shows 1×/3×/5×/10× growth scenarios</t>
  </si>
  <si>
    <t>Step 5</t>
  </si>
  <si>
    <t>Section D is the architecture reference table (no formulas)</t>
  </si>
  <si>
    <t>ASSUMPTIONS</t>
  </si>
  <si>
    <t>Compression ratio</t>
  </si>
  <si>
    <t>60% (Snappy/LZ4 for columnar data)</t>
  </si>
  <si>
    <t>Metadata overhead</t>
  </si>
  <si>
    <t>8% on top of compressed data</t>
  </si>
  <si>
    <t>Max shard size</t>
  </si>
  <si>
    <t>500 GB per DB shard</t>
  </si>
  <si>
    <t>Kafka partition throughput</t>
  </si>
  <si>
    <t>10,000 msg/sec per partition</t>
  </si>
  <si>
    <t>API server capacity</t>
  </si>
  <si>
    <t>1,000 peak RPS per server node</t>
  </si>
  <si>
    <t>AWS pricing region</t>
  </si>
  <si>
    <t>us-east-1 (reserved instance pricing)</t>
  </si>
  <si>
    <t>UBER — Capacity Planning Model</t>
  </si>
  <si>
    <t>Parameter</t>
  </si>
  <si>
    <t>Value</t>
  </si>
  <si>
    <t>Unit</t>
  </si>
  <si>
    <t>Notes</t>
  </si>
  <si>
    <t>Metric</t>
  </si>
  <si>
    <t>SECTION A — INPUTS  (Yellow cells are editable)</t>
  </si>
  <si>
    <t>A1. User &amp; Traffic Parameters</t>
  </si>
  <si>
    <t>DAU [millions]</t>
  </si>
  <si>
    <t>M users</t>
  </si>
  <si>
    <t>Daily Active Users</t>
  </si>
  <si>
    <t>Ride Booking Actions per User per Day</t>
  </si>
  <si>
    <t>writes/user/day</t>
  </si>
  <si>
    <t>Avg writes (book, cancel, etc.)</t>
  </si>
  <si>
    <t>Read Actions per User per Day</t>
  </si>
  <si>
    <t>reads/user/day</t>
  </si>
  <si>
    <t>Maps, ETA, driver location polls</t>
  </si>
  <si>
    <t>Peak Traffic Multiplier</t>
  </si>
  <si>
    <t>×</t>
  </si>
  <si>
    <t>Friday evening surges</t>
  </si>
  <si>
    <t>Cache Hit Rate</t>
  </si>
  <si>
    <t>ratio (0–1)</t>
  </si>
  <si>
    <t>CDN + Redis combined</t>
  </si>
  <si>
    <t>Active Drivers (% of DAU)</t>
  </si>
  <si>
    <t>Drivers = DAU × this ratio</t>
  </si>
  <si>
    <t>A2. Data &amp; Storage Parameters</t>
  </si>
  <si>
    <t>Avg Trip Record Size [KB]</t>
  </si>
  <si>
    <t>KB</t>
  </si>
  <si>
    <t>Incl. route, fare, metadata</t>
  </si>
  <si>
    <t>Avg GPS Event Size [bytes]</t>
  </si>
  <si>
    <t>bytes</t>
  </si>
  <si>
    <t>lat/lon/speed/heading/timestamp</t>
  </si>
  <si>
    <t>GPS Events per Active Driver per Sec</t>
  </si>
  <si>
    <t>events/sec</t>
  </si>
  <si>
    <t>1 Hz polling frequency</t>
  </si>
  <si>
    <t>Replication Factor</t>
  </si>
  <si>
    <t>Cassandra/Kafka replication</t>
  </si>
  <si>
    <t>Data Retention [years]</t>
  </si>
  <si>
    <t>years</t>
  </si>
  <si>
    <t>Regulatory + analytics retention</t>
  </si>
  <si>
    <t>Avg API Response Size [bytes]</t>
  </si>
  <si>
    <t>JSON response per API call</t>
  </si>
  <si>
    <t>A3. Cloud Pricing Parameters (AWS us-east-1)</t>
  </si>
  <si>
    <t>API Server Cost [$/hr per node]</t>
  </si>
  <si>
    <t>$/hr</t>
  </si>
  <si>
    <t>c5.2xlarge reserved</t>
  </si>
  <si>
    <t>DB Node Cost [$/hr per node]</t>
  </si>
  <si>
    <t>r5.4xlarge RDS reserved</t>
  </si>
  <si>
    <t>Cassandra Node Cost [$/hr per node]</t>
  </si>
  <si>
    <t>i3.2xlarge EC2 reserved</t>
  </si>
  <si>
    <t>S3 Storage Cost [$/TB/month]</t>
  </si>
  <si>
    <t>$/TB/month</t>
  </si>
  <si>
    <t>S3 Standard pricing</t>
  </si>
  <si>
    <t>Egress Cost [$/TB]</t>
  </si>
  <si>
    <t>$/TB</t>
  </si>
  <si>
    <t>AWS data transfer out</t>
  </si>
  <si>
    <t>GPU Node Cost [$/hr]</t>
  </si>
  <si>
    <t>p3.2xlarge (V100 GPU)</t>
  </si>
  <si>
    <t>SECTION B — CALCULATED METRICS  (Formula cells — do not edit)</t>
  </si>
  <si>
    <t>B1. Traffic Analysis</t>
  </si>
  <si>
    <t>DAU (absolute)</t>
  </si>
  <si>
    <t>users</t>
  </si>
  <si>
    <t>MAU (30-day estimate)</t>
  </si>
  <si>
    <t>Active Drivers</t>
  </si>
  <si>
    <t>drivers</t>
  </si>
  <si>
    <t>Write RPS (avg)</t>
  </si>
  <si>
    <t>req/sec</t>
  </si>
  <si>
    <t>Read RPS (avg)</t>
  </si>
  <si>
    <t>GPS Ingest RPS</t>
  </si>
  <si>
    <t>Surge Pricing RPS</t>
  </si>
  <si>
    <t>Total Avg RPS</t>
  </si>
  <si>
    <t>Peak Write RPS</t>
  </si>
  <si>
    <t>Peak Read RPS</t>
  </si>
  <si>
    <t>Peak GPS RPS</t>
  </si>
  <si>
    <t>Peak Total RPS</t>
  </si>
  <si>
    <t>B2. Storage Estimation</t>
  </si>
  <si>
    <t>Trips per Day</t>
  </si>
  <si>
    <t>trips/day</t>
  </si>
  <si>
    <t>Daily Trip Storage — Raw</t>
  </si>
  <si>
    <t>TB</t>
  </si>
  <si>
    <t>Daily GPS Storage — Raw</t>
  </si>
  <si>
    <t>Daily Raw Storage (all types)</t>
  </si>
  <si>
    <t>Daily Compressed (60% savings)</t>
  </si>
  <si>
    <t>Daily with Replication</t>
  </si>
  <si>
    <t>Daily with Metadata Overhead (8%)</t>
  </si>
  <si>
    <t>Annual Storage Growth</t>
  </si>
  <si>
    <t>TB/year</t>
  </si>
  <si>
    <t>Total Retention Storage</t>
  </si>
  <si>
    <t>5-Year Cumulative Storage</t>
  </si>
  <si>
    <t>B3. Bandwidth &amp; CDN</t>
  </si>
  <si>
    <t>Peak Egress Bandwidth</t>
  </si>
  <si>
    <t>Gbps</t>
  </si>
  <si>
    <t>CDN Offload</t>
  </si>
  <si>
    <t>Origin Bandwidth</t>
  </si>
  <si>
    <t>Daily Data Transferred</t>
  </si>
  <si>
    <t>TB/day</t>
  </si>
  <si>
    <t>B4. Infrastructure Sizing</t>
  </si>
  <si>
    <t>DB Shard Count</t>
  </si>
  <si>
    <t>shards</t>
  </si>
  <si>
    <t>DB Nodes (1 primary + 2 replicas)</t>
  </si>
  <si>
    <t>nodes</t>
  </si>
  <si>
    <t>API Server Count</t>
  </si>
  <si>
    <t>Cassandra Nodes (GPS)</t>
  </si>
  <si>
    <t>Redis Cache Working Set [GB]</t>
  </si>
  <si>
    <t>GB</t>
  </si>
  <si>
    <t>Redis Nodes (48 GB each, 3× cluster)</t>
  </si>
  <si>
    <t>Kafka Partitions</t>
  </si>
  <si>
    <t>partitions</t>
  </si>
  <si>
    <t>Kafka Brokers (3-replica)</t>
  </si>
  <si>
    <t>Worker Nodes (matching engine)</t>
  </si>
  <si>
    <t>GPU Nodes (ML inference, 4 min)</t>
  </si>
  <si>
    <t>Total Infrastructure Nodes</t>
  </si>
  <si>
    <t>B5. Cost Estimation (Monthly)</t>
  </si>
  <si>
    <t>Compute — API Servers</t>
  </si>
  <si>
    <t>$/month</t>
  </si>
  <si>
    <t>Database — Postgres RDS</t>
  </si>
  <si>
    <t>Database — Cassandra EC2</t>
  </si>
  <si>
    <t>Storage — S3</t>
  </si>
  <si>
    <t>Bandwidth / Egress</t>
  </si>
  <si>
    <t>Kafka (MSK)</t>
  </si>
  <si>
    <t>Redis (ElastiCache)</t>
  </si>
  <si>
    <t>TOTAL Monthly Cost</t>
  </si>
  <si>
    <t>TOTAL Annual Cost</t>
  </si>
  <si>
    <t>$/year</t>
  </si>
  <si>
    <t>Cost per DAU per Month</t>
  </si>
  <si>
    <t>$/user/month</t>
  </si>
  <si>
    <t>SECTION C — GROWTH SCENARIOS  (All formula-driven from Section B)</t>
  </si>
  <si>
    <t>1× (Baseline)</t>
  </si>
  <si>
    <t>3×</t>
  </si>
  <si>
    <t>5×</t>
  </si>
  <si>
    <t>10×</t>
  </si>
  <si>
    <t>DAU</t>
  </si>
  <si>
    <t>req/s</t>
  </si>
  <si>
    <t>events/s</t>
  </si>
  <si>
    <t>Daily Raw Storage</t>
  </si>
  <si>
    <t>Daily Final Storage</t>
  </si>
  <si>
    <t>Annual Storage</t>
  </si>
  <si>
    <t>Retention Total</t>
  </si>
  <si>
    <t>Peak Egress</t>
  </si>
  <si>
    <t>DB Nodes</t>
  </si>
  <si>
    <t>Total Nodes</t>
  </si>
  <si>
    <t>Monthly Cost</t>
  </si>
  <si>
    <t>USD</t>
  </si>
  <si>
    <t>Annual Cost</t>
  </si>
  <si>
    <t>SECTION D — ARCHITECTURE REFERENCE  (Text only, no formulas)</t>
  </si>
  <si>
    <t>Layer</t>
  </si>
  <si>
    <t>Technology</t>
  </si>
  <si>
    <t>Justification</t>
  </si>
  <si>
    <t>Client</t>
  </si>
  <si>
    <t>iOS/Android (React Native + Swift/Kotlin)</t>
  </si>
  <si>
    <t>Native GPS accuracy; React Native for cross-platform UI with near-native performance</t>
  </si>
  <si>
    <t>CDN / Edge</t>
  </si>
  <si>
    <t>Cloudflare + AWS CloudFront</t>
  </si>
  <si>
    <t>50+ global PoPs for map tiles/assets; Cloudflare Workers for edge auth and rate limiting</t>
  </si>
  <si>
    <t>Load Balancer</t>
  </si>
  <si>
    <t>AWS ALB + Kong API Gateway</t>
  </si>
  <si>
    <t>Layer-7 LB; Kong handles auth, rate limiting, routing for gRPC and REST traffic</t>
  </si>
  <si>
    <t>Matching Service</t>
  </si>
  <si>
    <t>Go + Hungarian Algorithm</t>
  </si>
  <si>
    <t>High-performance, low-GC language; bipartite matching is CPU-bound</t>
  </si>
  <si>
    <t>Geo Service</t>
  </si>
  <si>
    <t>Go + H3 (Uber's Hexagonal Grid)</t>
  </si>
  <si>
    <t>H3 enables O(1) nearby driver lookup within hexagonal cells at any resolution</t>
  </si>
  <si>
    <t>Surge Pricing</t>
  </si>
  <si>
    <t>Python + TensorFlow Serving</t>
  </si>
  <si>
    <t>ML demand forecasting updated every 30s; Python for model iteration speed</t>
  </si>
  <si>
    <t>Trip Service</t>
  </si>
  <si>
    <t>Java + Spring Boot</t>
  </si>
  <si>
    <t>Strong typing for financial correctness; mature ecosystem for state machines</t>
  </si>
  <si>
    <t>Payments</t>
  </si>
  <si>
    <t>Java + Stripe/Braintree</t>
  </si>
  <si>
    <t>PCI-DSS compliance, idempotent payment APIs, strong consistency required</t>
  </si>
  <si>
    <t>Notifications</t>
  </si>
  <si>
    <t>Node.js + Kafka + FCM/APNs</t>
  </si>
  <si>
    <t>Async fan-out pattern; Kafka decouples notification triggers from delivery</t>
  </si>
  <si>
    <t>Trip DB</t>
  </si>
  <si>
    <t>PostgreSQL (AWS RDS)</t>
  </si>
  <si>
    <t>ACID transactions for financial records; row-level security for multi-region</t>
  </si>
  <si>
    <t>GPS Store</t>
  </si>
  <si>
    <t>Apache Cassandra</t>
  </si>
  <si>
    <t>Write-optimized wide-column; geo-partitioned for time-series GPS traces</t>
  </si>
  <si>
    <t>Driver Cache</t>
  </si>
  <si>
    <t>Redis Cluster (Geo-spatial)</t>
  </si>
  <si>
    <t>GEORADIUS for real-time nearby driver queries; sub-millisecond lookups</t>
  </si>
  <si>
    <t>Search</t>
  </si>
  <si>
    <t>Elasticsearch</t>
  </si>
  <si>
    <t>Address autocomplete, POI search, driver search with relevance ranking</t>
  </si>
  <si>
    <t>Event Bus</t>
  </si>
  <si>
    <t>Apache Kafka (AWS MSK)</t>
  </si>
  <si>
    <t>Durable, ordered event log; decouples GPS ingest from consumers</t>
  </si>
  <si>
    <t>Stream Processing</t>
  </si>
  <si>
    <t>Apache Flink</t>
  </si>
  <si>
    <t>Stateful stream processing for GPS aggregation and real-time ETA updates</t>
  </si>
  <si>
    <t>ML Platform</t>
  </si>
  <si>
    <t>AWS SageMaker + Feast</t>
  </si>
  <si>
    <t>Managed ML training; Feast for low-latency feature serving at inference time</t>
  </si>
  <si>
    <t>Object Storage</t>
  </si>
  <si>
    <t>AWS S3 + Glacier</t>
  </si>
  <si>
    <t>Trip receipts, ML training data, audit logs; lifecycle policies for cost control</t>
  </si>
  <si>
    <t>Observability</t>
  </si>
  <si>
    <t>Datadog + Prometheus + Jaeger</t>
  </si>
  <si>
    <t>End-to-end tracing; SLO dashboards for matching latency, payment success rate</t>
  </si>
  <si>
    <t>Uber — Ride Booking Pipeline (End-to-End)</t>
  </si>
  <si>
    <t>#</t>
  </si>
  <si>
    <t>Stage</t>
  </si>
  <si>
    <t>Component</t>
  </si>
  <si>
    <t>Tech Stack</t>
  </si>
  <si>
    <t>Latency SLO</t>
  </si>
  <si>
    <t>Key Metric</t>
  </si>
  <si>
    <t>Handoff</t>
  </si>
  <si>
    <t>User Request</t>
  </si>
  <si>
    <t>Mobile App</t>
  </si>
  <si>
    <t>React Native, gRPC</t>
  </si>
  <si>
    <t>&lt;50ms</t>
  </si>
  <si>
    <t>App-API roundtrip p99</t>
  </si>
  <si>
    <t>→ API Gateway</t>
  </si>
  <si>
    <t>Auth &amp; Rate Limit</t>
  </si>
  <si>
    <t>Kong API Gateway</t>
  </si>
  <si>
    <t>Kong, JWT, Redis token cache</t>
  </si>
  <si>
    <t>&lt;10ms</t>
  </si>
  <si>
    <t>Auth success rate &gt;99.9%</t>
  </si>
  <si>
    <t>→ Dispatch Service</t>
  </si>
  <si>
    <t>Geo Lookup</t>
  </si>
  <si>
    <t>Go, H3 grid, Redis GEO</t>
  </si>
  <si>
    <t>&lt;20ms</t>
  </si>
  <si>
    <t>Nearby driver count</t>
  </si>
  <si>
    <t>→ Matching Engine</t>
  </si>
  <si>
    <t>Driver Matching</t>
  </si>
  <si>
    <t>Dispatch Service</t>
  </si>
  <si>
    <t>Go, Hungarian Algorithm</t>
  </si>
  <si>
    <t>&lt;100ms</t>
  </si>
  <si>
    <t>Match rate, ETA accuracy</t>
  </si>
  <si>
    <t>→ Trip Service</t>
  </si>
  <si>
    <t>Pricing Service</t>
  </si>
  <si>
    <t>Python, TF Serving, Kafka</t>
  </si>
  <si>
    <t>Surge accuracy vs actual</t>
  </si>
  <si>
    <t>Trip Creation</t>
  </si>
  <si>
    <t>Java, Spring, PostgreSQL</t>
  </si>
  <si>
    <t>Trip record written</t>
  </si>
  <si>
    <t>→ Kafka trip.created</t>
  </si>
  <si>
    <t>Notification Service</t>
  </si>
  <si>
    <t>Kafka consumer, FCM, APNs, SMS</t>
  </si>
  <si>
    <t>&lt;200ms</t>
  </si>
  <si>
    <t>Push delivery rate &gt;95%</t>
  </si>
  <si>
    <t>→ Driver + Rider</t>
  </si>
  <si>
    <t>GPS Streaming</t>
  </si>
  <si>
    <t>Telemetry Service</t>
  </si>
  <si>
    <t>Kafka, Apache Flink, Cassandra</t>
  </si>
  <si>
    <t>&lt;1s lag</t>
  </si>
  <si>
    <t>GPS events/sec, lag SLO</t>
  </si>
  <si>
    <t>→ ETA updates to rider</t>
  </si>
  <si>
    <t>Trip Completion</t>
  </si>
  <si>
    <t>Java, PostgreSQL (ACID txn)</t>
  </si>
  <si>
    <t>Fare calculation accuracy</t>
  </si>
  <si>
    <t>→ Payment Service</t>
  </si>
  <si>
    <t>Payment Settlement</t>
  </si>
  <si>
    <t>Payments Service</t>
  </si>
  <si>
    <t>Java, Stripe, Braintree, PCI</t>
  </si>
  <si>
    <t>&lt;2s</t>
  </si>
  <si>
    <t>Payment success rate &gt;99.9%</t>
  </si>
  <si>
    <t>→ Receipt + Driver payout</t>
  </si>
  <si>
    <t>Uber Capacity Planning — Glossary (25+ Terms)</t>
  </si>
  <si>
    <t>Term</t>
  </si>
  <si>
    <t>Definition</t>
  </si>
  <si>
    <t>Formula / Notes</t>
  </si>
  <si>
    <t>Daily Active Users — users who open the app and take an action at least once per day</t>
  </si>
  <si>
    <t>—</t>
  </si>
  <si>
    <t>MAU</t>
  </si>
  <si>
    <t>Monthly Active Users — typically 3–4× DAU for ride-hailing apps</t>
  </si>
  <si>
    <t>MAU = DAU × 30 (est.)</t>
  </si>
  <si>
    <t>RPS</t>
  </si>
  <si>
    <t>Requests Per Second — the primary throughput unit for API capacity planning</t>
  </si>
  <si>
    <t>RPS = requests / 86,400 sec</t>
  </si>
  <si>
    <t>Write RPS</t>
  </si>
  <si>
    <t>Rate of state-changing requests (bookings, cancellations, driver status updates)</t>
  </si>
  <si>
    <t>(DAU × writes/user) / 86,400</t>
  </si>
  <si>
    <t>Read RPS</t>
  </si>
  <si>
    <t>Rate of read-only requests (maps, ETAs, driver positions, fare estimates)</t>
  </si>
  <si>
    <t>(DAU × reads/user) / 86,400</t>
  </si>
  <si>
    <t>Peak RPS</t>
  </si>
  <si>
    <t>Maximum RPS during the busiest period (Friday 6–8pm local time)</t>
  </si>
  <si>
    <t>Avg RPS × peak multiplier</t>
  </si>
  <si>
    <t>Rate of GPS telemetry events from active driver devices</t>
  </si>
  <si>
    <t>drivers × GPS_rate × 0.3</t>
  </si>
  <si>
    <t>Peak Multiplier</t>
  </si>
  <si>
    <t>Ratio of peak traffic to average traffic; Uber uses ~3×</t>
  </si>
  <si>
    <t>Typically 3–5× for ride-hailing</t>
  </si>
  <si>
    <t>Number of copies of each data record stored for durability and HA</t>
  </si>
  <si>
    <t>3 for Kafka/Cassandra</t>
  </si>
  <si>
    <t>Fraction of read requests served from cache (Redis/CDN) vs. origin</t>
  </si>
  <si>
    <t>0.85 = 85% served from cache</t>
  </si>
  <si>
    <t>Compression Ratio</t>
  </si>
  <si>
    <t>Fraction of data removed by compression; 0.6 = 60% size reduction</t>
  </si>
  <si>
    <t>60% savings with Snappy/LZ4</t>
  </si>
  <si>
    <t>Metadata Overhead</t>
  </si>
  <si>
    <t>Extra storage for indexes, headers, and system metadata (typically 8%)</t>
  </si>
  <si>
    <t>total × 1.08</t>
  </si>
  <si>
    <t>DB Shard</t>
  </si>
  <si>
    <t>Horizontal partition of a database; Uber shards trips by rider_id / geo hash</t>
  </si>
  <si>
    <t>shard_count = total_data / max_shard_size</t>
  </si>
  <si>
    <t>H3</t>
  </si>
  <si>
    <t>Uber's open-source hexagonal grid system for geospatial indexing</t>
  </si>
  <si>
    <t>github.com/uber/h3</t>
  </si>
  <si>
    <t>Hungarian Algorithm</t>
  </si>
  <si>
    <t>Bipartite graph matching algorithm used in Uber's dispatch service to optimally pair riders and drivers</t>
  </si>
  <si>
    <t>O(n³) — mitigated by geo pre-filtering</t>
  </si>
  <si>
    <t>Dynamic fare multiplier applied when demand &gt; supply in a geo hexagon, computed by ML model</t>
  </si>
  <si>
    <t>Updated every 30 seconds</t>
  </si>
  <si>
    <t>ETA</t>
  </si>
  <si>
    <t>Estimated Time of Arrival — ML model prediction using live GPS, historical patterns, traffic</t>
  </si>
  <si>
    <t>Accuracy SLO: ±2 min at p90</t>
  </si>
  <si>
    <t>Cassandra</t>
  </si>
  <si>
    <t>Wide-column NoSQL database; Uber uses it for GPS telemetry (write-optimized, geo-partitioned)</t>
  </si>
  <si>
    <t>Partition key = (city_id, driver_id)</t>
  </si>
  <si>
    <t>Kafka</t>
  </si>
  <si>
    <t>Distributed event streaming platform used as GPS ingest bus and service event bus</t>
  </si>
  <si>
    <t>Retention: 7 days</t>
  </si>
  <si>
    <t>Flink</t>
  </si>
  <si>
    <t>Stateful stream processing framework consuming Kafka GPS events for real-time ETA aggregation</t>
  </si>
  <si>
    <t>Latency SLO: &lt;1 second</t>
  </si>
  <si>
    <t>Redis GEO</t>
  </si>
  <si>
    <t>Redis geospatial commands (GEOADD, GEORADIUS) for real-time driver location lookups</t>
  </si>
  <si>
    <t>Sub-millisecond p99</t>
  </si>
  <si>
    <t>SLO</t>
  </si>
  <si>
    <t>Service Level Objective — internal target for latency/availability (e.g., matching &lt;500ms p99)</t>
  </si>
  <si>
    <t>SLI</t>
  </si>
  <si>
    <t>Service Level Indicator — the actual measured metric corresponding to an SLO</t>
  </si>
  <si>
    <t>MSK</t>
  </si>
  <si>
    <t>Amazon Managed Streaming for Apache Kafka — fully managed Kafka service on AWS</t>
  </si>
  <si>
    <t>Used for GPS + trip event bus</t>
  </si>
  <si>
    <t>PCI-DSS</t>
  </si>
  <si>
    <t>Payment Card Industry Data Security Standard — compliance requirement for payment processing</t>
  </si>
  <si>
    <t>Scoped to Payments microservice</t>
  </si>
  <si>
    <t>CDN PoP</t>
  </si>
  <si>
    <t>Content Delivery Network Point of Presence — edge server serving static assets closer to users</t>
  </si>
  <si>
    <t>50 PoPs recommended globally</t>
  </si>
  <si>
    <t>Egress Bandwidth</t>
  </si>
  <si>
    <t>Data transferred from cloud origin servers to the internet (billed by AWS)</t>
  </si>
  <si>
    <t>peak_rps × avg_response_bytes × 8</t>
  </si>
  <si>
    <t>Working Set</t>
  </si>
  <si>
    <t>Hot data that must fit in RAM cache (Redis) for sub-millisecond access</t>
  </si>
  <si>
    <t>DAU × hot_data_bytes_per_user</t>
  </si>
  <si>
    <t>Feature Store</t>
  </si>
  <si>
    <t>Central repository (Feast) for ML features used in real-time inference (ETA, surge models)</t>
  </si>
  <si>
    <t>Feast with Redis online store</t>
  </si>
  <si>
    <t>ACID</t>
  </si>
  <si>
    <t>Atomicity, Consistency, Isolation, Durability — required for trip and payment records in PostgreSQL</t>
  </si>
  <si>
    <t>Guaranteed by PostgreSQL 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</si>
</sst>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404040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6"/>
      <color rgb="FF06C167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4"/>
      <color rgb="FF06C167"/>
      <name val="Arial"/>
      <charset val="1"/>
    </font>
    <font>
      <b/>
      <sz val="10"/>
      <name val="Arial"/>
      <charset val="1"/>
    </font>
    <font>
      <sz val="9"/>
      <color rgb="FF0000CC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BBBBB"/>
      </patternFill>
    </fill>
    <fill>
      <patternFill patternType="solid">
        <fgColor rgb="FFFFFF00"/>
        <bgColor rgb="FFFFFF00"/>
      </patternFill>
    </fill>
    <fill>
      <patternFill patternType="solid">
        <fgColor rgb="FF00AA55"/>
        <bgColor rgb="FF06C167"/>
      </patternFill>
    </fill>
    <fill>
      <patternFill patternType="solid">
        <fgColor rgb="FF0A0A0A"/>
        <bgColor rgb="FF000000"/>
      </patternFill>
    </fill>
    <fill>
      <patternFill patternType="solid">
        <fgColor rgb="FF595959"/>
        <bgColor rgb="FF555555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7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6C167"/>
      <rgbColor rgb="FF99CC00"/>
      <rgbColor rgb="FFFFCC00"/>
      <rgbColor rgb="FFFF9900"/>
      <rgbColor rgb="FFFF6600"/>
      <rgbColor rgb="FF595959"/>
      <rgbColor rgb="FF969696"/>
      <rgbColor rgb="FF003366"/>
      <rgbColor rgb="FF00AA55"/>
      <rgbColor rgb="FF0A0A0A"/>
      <rgbColor rgb="FF333300"/>
      <rgbColor rgb="FF993300"/>
      <rgbColor rgb="FF993366"/>
      <rgbColor rgb="FF55555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>
      <selection activeCell="A31" sqref="A31"/>
    </sheetView>
  </sheetViews>
  <sheetFormatPr defaultColWidth="8.7109375" defaultRowHeight="15" x14ac:dyDescent="0.25"/>
  <cols>
    <col min="1" max="1" width="25" customWidth="1"/>
    <col min="2" max="2" width="70" customWidth="1"/>
  </cols>
  <sheetData>
    <row r="1" spans="1:2" ht="20.25" x14ac:dyDescent="0.3">
      <c r="A1" s="2" t="s">
        <v>0</v>
      </c>
      <c r="B1" s="3"/>
    </row>
    <row r="2" spans="1:2" x14ac:dyDescent="0.25">
      <c r="A2" s="4"/>
      <c r="B2" s="3"/>
    </row>
    <row r="3" spans="1:2" ht="25.5" x14ac:dyDescent="0.25">
      <c r="A3" s="5" t="s">
        <v>1</v>
      </c>
      <c r="B3" s="3" t="s">
        <v>2</v>
      </c>
    </row>
    <row r="4" spans="1:2" x14ac:dyDescent="0.25">
      <c r="A4" s="5" t="s">
        <v>3</v>
      </c>
      <c r="B4" s="3" t="s">
        <v>4</v>
      </c>
    </row>
    <row r="5" spans="1:2" x14ac:dyDescent="0.25">
      <c r="A5" s="4"/>
      <c r="B5" s="3"/>
    </row>
    <row r="6" spans="1:2" x14ac:dyDescent="0.25">
      <c r="A6" s="6" t="s">
        <v>5</v>
      </c>
      <c r="B6" s="3"/>
    </row>
    <row r="7" spans="1:2" x14ac:dyDescent="0.25">
      <c r="A7" s="7" t="s">
        <v>6</v>
      </c>
      <c r="B7" s="3" t="s">
        <v>7</v>
      </c>
    </row>
    <row r="8" spans="1:2" x14ac:dyDescent="0.25">
      <c r="A8" s="5" t="s">
        <v>8</v>
      </c>
      <c r="B8" s="3" t="s">
        <v>9</v>
      </c>
    </row>
    <row r="9" spans="1:2" x14ac:dyDescent="0.25">
      <c r="A9" s="8" t="s">
        <v>10</v>
      </c>
      <c r="B9" s="3" t="s">
        <v>11</v>
      </c>
    </row>
    <row r="10" spans="1:2" x14ac:dyDescent="0.25">
      <c r="A10" s="6" t="s">
        <v>12</v>
      </c>
      <c r="B10" s="3" t="s">
        <v>13</v>
      </c>
    </row>
    <row r="11" spans="1:2" x14ac:dyDescent="0.25">
      <c r="A11" s="4"/>
      <c r="B11" s="3"/>
    </row>
    <row r="12" spans="1:2" x14ac:dyDescent="0.25">
      <c r="A12" s="6" t="s">
        <v>14</v>
      </c>
      <c r="B12" s="3"/>
    </row>
    <row r="13" spans="1:2" x14ac:dyDescent="0.25">
      <c r="A13" s="5" t="s">
        <v>15</v>
      </c>
      <c r="B13" s="3" t="s">
        <v>16</v>
      </c>
    </row>
    <row r="14" spans="1:2" ht="25.5" x14ac:dyDescent="0.25">
      <c r="A14" s="5" t="s">
        <v>17</v>
      </c>
      <c r="B14" s="3" t="s">
        <v>18</v>
      </c>
    </row>
    <row r="15" spans="1:2" x14ac:dyDescent="0.25">
      <c r="A15" s="5" t="s">
        <v>19</v>
      </c>
      <c r="B15" s="3" t="s">
        <v>20</v>
      </c>
    </row>
    <row r="16" spans="1:2" x14ac:dyDescent="0.25">
      <c r="A16" s="5" t="s">
        <v>21</v>
      </c>
      <c r="B16" s="3" t="s">
        <v>22</v>
      </c>
    </row>
    <row r="17" spans="1:2" x14ac:dyDescent="0.25">
      <c r="A17" s="4"/>
      <c r="B17" s="3"/>
    </row>
    <row r="18" spans="1:2" x14ac:dyDescent="0.25">
      <c r="A18" s="6" t="s">
        <v>23</v>
      </c>
      <c r="B18" s="3"/>
    </row>
    <row r="19" spans="1:2" x14ac:dyDescent="0.25">
      <c r="A19" s="5" t="s">
        <v>24</v>
      </c>
      <c r="B19" s="3" t="s">
        <v>25</v>
      </c>
    </row>
    <row r="20" spans="1:2" x14ac:dyDescent="0.25">
      <c r="A20" s="5" t="s">
        <v>26</v>
      </c>
      <c r="B20" s="3" t="s">
        <v>27</v>
      </c>
    </row>
    <row r="21" spans="1:2" x14ac:dyDescent="0.25">
      <c r="A21" s="5" t="s">
        <v>28</v>
      </c>
      <c r="B21" s="3" t="s">
        <v>29</v>
      </c>
    </row>
    <row r="22" spans="1:2" x14ac:dyDescent="0.25">
      <c r="A22" s="5" t="s">
        <v>30</v>
      </c>
      <c r="B22" s="3" t="s">
        <v>31</v>
      </c>
    </row>
    <row r="23" spans="1:2" x14ac:dyDescent="0.25">
      <c r="A23" s="5" t="s">
        <v>32</v>
      </c>
      <c r="B23" s="3" t="s">
        <v>33</v>
      </c>
    </row>
    <row r="24" spans="1:2" x14ac:dyDescent="0.25">
      <c r="A24" s="4"/>
      <c r="B24" s="3"/>
    </row>
    <row r="25" spans="1:2" x14ac:dyDescent="0.25">
      <c r="A25" s="6" t="s">
        <v>34</v>
      </c>
      <c r="B25" s="3"/>
    </row>
    <row r="26" spans="1:2" x14ac:dyDescent="0.25">
      <c r="A26" s="5" t="s">
        <v>35</v>
      </c>
      <c r="B26" s="3" t="s">
        <v>36</v>
      </c>
    </row>
    <row r="27" spans="1:2" x14ac:dyDescent="0.25">
      <c r="A27" s="5" t="s">
        <v>37</v>
      </c>
      <c r="B27" s="3" t="s">
        <v>38</v>
      </c>
    </row>
    <row r="28" spans="1:2" x14ac:dyDescent="0.25">
      <c r="A28" s="5" t="s">
        <v>39</v>
      </c>
      <c r="B28" s="3" t="s">
        <v>40</v>
      </c>
    </row>
    <row r="29" spans="1:2" x14ac:dyDescent="0.25">
      <c r="A29" s="5" t="s">
        <v>41</v>
      </c>
      <c r="B29" s="3" t="s">
        <v>42</v>
      </c>
    </row>
    <row r="30" spans="1:2" x14ac:dyDescent="0.25">
      <c r="A30" s="5" t="s">
        <v>43</v>
      </c>
      <c r="B30" s="3" t="s">
        <v>44</v>
      </c>
    </row>
    <row r="31" spans="1:2" x14ac:dyDescent="0.25">
      <c r="A31" s="5" t="s">
        <v>45</v>
      </c>
      <c r="B31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tabSelected="1" zoomScaleNormal="100" workbookViewId="0">
      <selection activeCell="E81" sqref="E81"/>
    </sheetView>
  </sheetViews>
  <sheetFormatPr defaultColWidth="8.7109375" defaultRowHeight="15" x14ac:dyDescent="0.25"/>
  <cols>
    <col min="1" max="1" width="30" customWidth="1"/>
    <col min="2" max="2" width="35.5703125" bestFit="1" customWidth="1"/>
    <col min="3" max="3" width="18" customWidth="1"/>
    <col min="4" max="5" width="30" customWidth="1"/>
    <col min="6" max="7" width="18" customWidth="1"/>
  </cols>
  <sheetData>
    <row r="1" spans="1:7" ht="30" customHeight="1" x14ac:dyDescent="0.25">
      <c r="A1" s="21" t="s">
        <v>47</v>
      </c>
      <c r="B1" s="21"/>
      <c r="C1" s="21"/>
      <c r="D1" s="21"/>
      <c r="E1" s="21"/>
      <c r="F1" s="21"/>
      <c r="G1" s="21"/>
    </row>
    <row r="2" spans="1:7" x14ac:dyDescent="0.25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49</v>
      </c>
      <c r="G2" s="1" t="s">
        <v>50</v>
      </c>
    </row>
    <row r="3" spans="1:7" ht="15" customHeight="1" x14ac:dyDescent="0.25">
      <c r="A3" s="19" t="s">
        <v>53</v>
      </c>
      <c r="B3" s="19"/>
      <c r="C3" s="19"/>
      <c r="D3" s="19"/>
    </row>
    <row r="4" spans="1:7" ht="15" customHeight="1" x14ac:dyDescent="0.25">
      <c r="A4" s="19" t="s">
        <v>54</v>
      </c>
      <c r="B4" s="19"/>
      <c r="C4" s="19"/>
      <c r="D4" s="19"/>
    </row>
    <row r="5" spans="1:7" x14ac:dyDescent="0.25">
      <c r="A5" s="3" t="s">
        <v>55</v>
      </c>
      <c r="B5" s="9">
        <v>100</v>
      </c>
      <c r="C5" s="3" t="s">
        <v>56</v>
      </c>
      <c r="D5" s="10" t="s">
        <v>57</v>
      </c>
    </row>
    <row r="6" spans="1:7" ht="25.5" x14ac:dyDescent="0.25">
      <c r="A6" s="3" t="s">
        <v>58</v>
      </c>
      <c r="B6" s="9">
        <v>3</v>
      </c>
      <c r="C6" s="3" t="s">
        <v>59</v>
      </c>
      <c r="D6" s="10" t="s">
        <v>60</v>
      </c>
    </row>
    <row r="7" spans="1:7" x14ac:dyDescent="0.25">
      <c r="A7" s="3" t="s">
        <v>61</v>
      </c>
      <c r="B7" s="9">
        <v>30</v>
      </c>
      <c r="C7" s="3" t="s">
        <v>62</v>
      </c>
      <c r="D7" s="10" t="s">
        <v>63</v>
      </c>
    </row>
    <row r="8" spans="1:7" x14ac:dyDescent="0.25">
      <c r="A8" s="3" t="s">
        <v>64</v>
      </c>
      <c r="B8" s="9">
        <v>3</v>
      </c>
      <c r="C8" s="3" t="s">
        <v>65</v>
      </c>
      <c r="D8" s="10" t="s">
        <v>66</v>
      </c>
    </row>
    <row r="9" spans="1:7" x14ac:dyDescent="0.25">
      <c r="A9" s="3" t="s">
        <v>67</v>
      </c>
      <c r="B9" s="9">
        <v>0.85</v>
      </c>
      <c r="C9" s="3" t="s">
        <v>68</v>
      </c>
      <c r="D9" s="10" t="s">
        <v>69</v>
      </c>
    </row>
    <row r="10" spans="1:7" x14ac:dyDescent="0.25">
      <c r="A10" s="3" t="s">
        <v>70</v>
      </c>
      <c r="B10" s="9">
        <v>0.1</v>
      </c>
      <c r="C10" s="3" t="s">
        <v>68</v>
      </c>
      <c r="D10" s="10" t="s">
        <v>71</v>
      </c>
    </row>
    <row r="12" spans="1:7" ht="15" customHeight="1" x14ac:dyDescent="0.25">
      <c r="A12" s="19" t="s">
        <v>72</v>
      </c>
      <c r="B12" s="19"/>
      <c r="C12" s="19"/>
      <c r="D12" s="19"/>
    </row>
    <row r="13" spans="1:7" x14ac:dyDescent="0.25">
      <c r="A13" s="3" t="s">
        <v>73</v>
      </c>
      <c r="B13" s="9">
        <v>5</v>
      </c>
      <c r="C13" s="3" t="s">
        <v>74</v>
      </c>
      <c r="D13" s="10" t="s">
        <v>75</v>
      </c>
    </row>
    <row r="14" spans="1:7" x14ac:dyDescent="0.25">
      <c r="A14" s="3" t="s">
        <v>76</v>
      </c>
      <c r="B14" s="9">
        <v>64</v>
      </c>
      <c r="C14" s="3" t="s">
        <v>77</v>
      </c>
      <c r="D14" s="10" t="s">
        <v>78</v>
      </c>
    </row>
    <row r="15" spans="1:7" ht="25.5" x14ac:dyDescent="0.25">
      <c r="A15" s="3" t="s">
        <v>79</v>
      </c>
      <c r="B15" s="9">
        <v>1</v>
      </c>
      <c r="C15" s="3" t="s">
        <v>80</v>
      </c>
      <c r="D15" s="10" t="s">
        <v>81</v>
      </c>
    </row>
    <row r="16" spans="1:7" x14ac:dyDescent="0.25">
      <c r="A16" s="3" t="s">
        <v>82</v>
      </c>
      <c r="B16" s="9">
        <v>3</v>
      </c>
      <c r="C16" s="3" t="s">
        <v>65</v>
      </c>
      <c r="D16" s="10" t="s">
        <v>83</v>
      </c>
    </row>
    <row r="17" spans="1:7" x14ac:dyDescent="0.25">
      <c r="A17" s="3" t="s">
        <v>84</v>
      </c>
      <c r="B17" s="9">
        <v>3</v>
      </c>
      <c r="C17" s="3" t="s">
        <v>85</v>
      </c>
      <c r="D17" s="10" t="s">
        <v>86</v>
      </c>
    </row>
    <row r="18" spans="1:7" x14ac:dyDescent="0.25">
      <c r="A18" s="3" t="s">
        <v>87</v>
      </c>
      <c r="B18" s="9">
        <v>2048</v>
      </c>
      <c r="C18" s="3" t="s">
        <v>77</v>
      </c>
      <c r="D18" s="10" t="s">
        <v>88</v>
      </c>
    </row>
    <row r="20" spans="1:7" ht="15" customHeight="1" x14ac:dyDescent="0.25">
      <c r="A20" s="19" t="s">
        <v>89</v>
      </c>
      <c r="B20" s="19"/>
      <c r="C20" s="19"/>
      <c r="D20" s="19"/>
    </row>
    <row r="21" spans="1:7" x14ac:dyDescent="0.25">
      <c r="A21" s="3" t="s">
        <v>90</v>
      </c>
      <c r="B21" s="9">
        <v>0.3</v>
      </c>
      <c r="C21" s="3" t="s">
        <v>91</v>
      </c>
      <c r="D21" s="10" t="s">
        <v>92</v>
      </c>
    </row>
    <row r="22" spans="1:7" x14ac:dyDescent="0.25">
      <c r="A22" s="3" t="s">
        <v>93</v>
      </c>
      <c r="B22" s="9">
        <v>2.5</v>
      </c>
      <c r="C22" s="3" t="s">
        <v>91</v>
      </c>
      <c r="D22" s="10" t="s">
        <v>94</v>
      </c>
    </row>
    <row r="23" spans="1:7" ht="25.5" x14ac:dyDescent="0.25">
      <c r="A23" s="3" t="s">
        <v>95</v>
      </c>
      <c r="B23" s="9">
        <v>1.8</v>
      </c>
      <c r="C23" s="3" t="s">
        <v>91</v>
      </c>
      <c r="D23" s="10" t="s">
        <v>96</v>
      </c>
    </row>
    <row r="24" spans="1:7" x14ac:dyDescent="0.25">
      <c r="A24" s="3" t="s">
        <v>97</v>
      </c>
      <c r="B24" s="9">
        <v>23</v>
      </c>
      <c r="C24" s="3" t="s">
        <v>98</v>
      </c>
      <c r="D24" s="10" t="s">
        <v>99</v>
      </c>
    </row>
    <row r="25" spans="1:7" x14ac:dyDescent="0.25">
      <c r="A25" s="3" t="s">
        <v>100</v>
      </c>
      <c r="B25" s="9">
        <v>9</v>
      </c>
      <c r="C25" s="3" t="s">
        <v>101</v>
      </c>
      <c r="D25" s="10" t="s">
        <v>102</v>
      </c>
    </row>
    <row r="26" spans="1:7" x14ac:dyDescent="0.25">
      <c r="A26" s="3" t="s">
        <v>103</v>
      </c>
      <c r="B26" s="9">
        <v>1.5</v>
      </c>
      <c r="C26" s="3" t="s">
        <v>91</v>
      </c>
      <c r="D26" s="10" t="s">
        <v>104</v>
      </c>
    </row>
    <row r="29" spans="1:7" ht="15" customHeight="1" x14ac:dyDescent="0.25">
      <c r="A29" s="19" t="s">
        <v>105</v>
      </c>
      <c r="B29" s="19"/>
      <c r="C29" s="19"/>
      <c r="D29" s="19"/>
      <c r="E29" s="19"/>
      <c r="F29" s="19"/>
      <c r="G29" s="19"/>
    </row>
    <row r="30" spans="1:7" ht="15" customHeight="1" x14ac:dyDescent="0.25">
      <c r="A30" s="19" t="s">
        <v>106</v>
      </c>
      <c r="B30" s="19"/>
      <c r="C30" s="19"/>
      <c r="D30" s="19"/>
      <c r="E30" s="19"/>
      <c r="F30" s="19"/>
      <c r="G30" s="19"/>
    </row>
    <row r="31" spans="1:7" x14ac:dyDescent="0.25">
      <c r="E31" s="3" t="s">
        <v>107</v>
      </c>
      <c r="F31" s="11">
        <f>B5*1000000</f>
        <v>100000000</v>
      </c>
      <c r="G31" s="4" t="s">
        <v>108</v>
      </c>
    </row>
    <row r="32" spans="1:7" x14ac:dyDescent="0.25">
      <c r="E32" s="3" t="s">
        <v>109</v>
      </c>
      <c r="F32" s="11">
        <f>F31*30</f>
        <v>3000000000</v>
      </c>
      <c r="G32" s="4" t="s">
        <v>108</v>
      </c>
    </row>
    <row r="33" spans="1:7" x14ac:dyDescent="0.25">
      <c r="E33" s="3" t="s">
        <v>110</v>
      </c>
      <c r="F33" s="11">
        <f>F31*B10</f>
        <v>10000000</v>
      </c>
      <c r="G33" s="4" t="s">
        <v>111</v>
      </c>
    </row>
    <row r="34" spans="1:7" x14ac:dyDescent="0.25">
      <c r="E34" s="3" t="s">
        <v>112</v>
      </c>
      <c r="F34" s="11">
        <f>(F31*B6)/86400</f>
        <v>3472.2222222222222</v>
      </c>
      <c r="G34" s="4" t="s">
        <v>113</v>
      </c>
    </row>
    <row r="35" spans="1:7" x14ac:dyDescent="0.25">
      <c r="E35" s="3" t="s">
        <v>114</v>
      </c>
      <c r="F35" s="11">
        <f>(F31*B7)/86400</f>
        <v>34722.222222222219</v>
      </c>
      <c r="G35" s="4" t="s">
        <v>113</v>
      </c>
    </row>
    <row r="36" spans="1:7" x14ac:dyDescent="0.25">
      <c r="E36" s="3" t="s">
        <v>115</v>
      </c>
      <c r="F36" s="11">
        <f>F33*B15*0.3</f>
        <v>3000000</v>
      </c>
      <c r="G36" s="4" t="s">
        <v>80</v>
      </c>
    </row>
    <row r="37" spans="1:7" x14ac:dyDescent="0.25">
      <c r="E37" s="3" t="s">
        <v>116</v>
      </c>
      <c r="F37" s="11">
        <f>F35*0.05</f>
        <v>1736.1111111111111</v>
      </c>
      <c r="G37" s="4" t="s">
        <v>113</v>
      </c>
    </row>
    <row r="38" spans="1:7" x14ac:dyDescent="0.25">
      <c r="E38" s="3" t="s">
        <v>117</v>
      </c>
      <c r="F38" s="12">
        <f>F34+F35+F36+F37</f>
        <v>3039930.5555555555</v>
      </c>
      <c r="G38" s="4" t="s">
        <v>113</v>
      </c>
    </row>
    <row r="39" spans="1:7" x14ac:dyDescent="0.25">
      <c r="E39" s="3" t="s">
        <v>118</v>
      </c>
      <c r="F39" s="11">
        <f>F34*B8</f>
        <v>10416.666666666666</v>
      </c>
      <c r="G39" s="4" t="s">
        <v>113</v>
      </c>
    </row>
    <row r="40" spans="1:7" x14ac:dyDescent="0.25">
      <c r="E40" s="3" t="s">
        <v>119</v>
      </c>
      <c r="F40" s="11">
        <f>F35*B8</f>
        <v>104166.66666666666</v>
      </c>
      <c r="G40" s="4" t="s">
        <v>113</v>
      </c>
    </row>
    <row r="41" spans="1:7" x14ac:dyDescent="0.25">
      <c r="E41" s="3" t="s">
        <v>120</v>
      </c>
      <c r="F41" s="11">
        <f>F36*B8</f>
        <v>9000000</v>
      </c>
      <c r="G41" s="4" t="s">
        <v>113</v>
      </c>
    </row>
    <row r="42" spans="1:7" x14ac:dyDescent="0.25">
      <c r="E42" s="3" t="s">
        <v>121</v>
      </c>
      <c r="F42" s="12">
        <f>F38*B8</f>
        <v>9119791.666666666</v>
      </c>
      <c r="G42" s="4" t="s">
        <v>113</v>
      </c>
    </row>
    <row r="44" spans="1:7" ht="15" customHeight="1" x14ac:dyDescent="0.25">
      <c r="A44" s="19" t="s">
        <v>122</v>
      </c>
      <c r="B44" s="19"/>
      <c r="C44" s="19"/>
      <c r="D44" s="19"/>
      <c r="E44" s="19"/>
      <c r="F44" s="19"/>
      <c r="G44" s="19"/>
    </row>
    <row r="45" spans="1:7" x14ac:dyDescent="0.25">
      <c r="E45" s="3" t="s">
        <v>123</v>
      </c>
      <c r="F45" s="11">
        <f>F31*B6</f>
        <v>300000000</v>
      </c>
      <c r="G45" s="4" t="s">
        <v>124</v>
      </c>
    </row>
    <row r="46" spans="1:7" x14ac:dyDescent="0.25">
      <c r="E46" s="3" t="s">
        <v>125</v>
      </c>
      <c r="F46" s="11">
        <f>F45*B13*1024/1000000000000</f>
        <v>1.536</v>
      </c>
      <c r="G46" s="4" t="s">
        <v>126</v>
      </c>
    </row>
    <row r="47" spans="1:7" x14ac:dyDescent="0.25">
      <c r="E47" s="3" t="s">
        <v>127</v>
      </c>
      <c r="F47" s="11">
        <f>F33*B15*0.3*86400*B14/1000000000000</f>
        <v>16.588799999999999</v>
      </c>
      <c r="G47" s="4" t="s">
        <v>126</v>
      </c>
    </row>
    <row r="48" spans="1:7" x14ac:dyDescent="0.25">
      <c r="E48" s="3" t="s">
        <v>128</v>
      </c>
      <c r="F48" s="11">
        <f>F46+F47+0.05</f>
        <v>18.174800000000001</v>
      </c>
      <c r="G48" s="4" t="s">
        <v>126</v>
      </c>
    </row>
    <row r="49" spans="1:7" x14ac:dyDescent="0.25">
      <c r="E49" s="3" t="s">
        <v>129</v>
      </c>
      <c r="F49" s="11">
        <f>F48*0.4</f>
        <v>7.2699200000000008</v>
      </c>
      <c r="G49" s="4" t="s">
        <v>126</v>
      </c>
    </row>
    <row r="50" spans="1:7" x14ac:dyDescent="0.25">
      <c r="E50" s="3" t="s">
        <v>130</v>
      </c>
      <c r="F50" s="11">
        <f>F49*B16</f>
        <v>21.809760000000004</v>
      </c>
      <c r="G50" s="4" t="s">
        <v>126</v>
      </c>
    </row>
    <row r="51" spans="1:7" ht="25.5" x14ac:dyDescent="0.25">
      <c r="E51" s="3" t="s">
        <v>131</v>
      </c>
      <c r="F51" s="12">
        <f>F50*1.08</f>
        <v>23.554540800000005</v>
      </c>
      <c r="G51" s="4" t="s">
        <v>126</v>
      </c>
    </row>
    <row r="52" spans="1:7" x14ac:dyDescent="0.25">
      <c r="E52" s="3" t="s">
        <v>132</v>
      </c>
      <c r="F52" s="11">
        <f>F51*365</f>
        <v>8597.407392000001</v>
      </c>
      <c r="G52" s="4" t="s">
        <v>133</v>
      </c>
    </row>
    <row r="53" spans="1:7" x14ac:dyDescent="0.25">
      <c r="E53" s="3" t="s">
        <v>134</v>
      </c>
      <c r="F53" s="12">
        <f>F52*B17</f>
        <v>25792.222176000003</v>
      </c>
      <c r="G53" s="4" t="s">
        <v>126</v>
      </c>
    </row>
    <row r="54" spans="1:7" x14ac:dyDescent="0.25">
      <c r="E54" s="3" t="s">
        <v>135</v>
      </c>
      <c r="F54" s="11">
        <f>F52*5</f>
        <v>42987.036960000005</v>
      </c>
      <c r="G54" s="4" t="s">
        <v>126</v>
      </c>
    </row>
    <row r="56" spans="1:7" ht="15" customHeight="1" x14ac:dyDescent="0.25">
      <c r="A56" s="19" t="s">
        <v>136</v>
      </c>
      <c r="B56" s="19"/>
      <c r="C56" s="19"/>
      <c r="D56" s="19"/>
      <c r="E56" s="19"/>
      <c r="F56" s="19"/>
      <c r="G56" s="19"/>
    </row>
    <row r="57" spans="1:7" x14ac:dyDescent="0.25">
      <c r="E57" s="3" t="s">
        <v>137</v>
      </c>
      <c r="F57" s="11">
        <f>F42*B18*8/1000000000</f>
        <v>149.41866666666667</v>
      </c>
      <c r="G57" s="4" t="s">
        <v>138</v>
      </c>
    </row>
    <row r="58" spans="1:7" x14ac:dyDescent="0.25">
      <c r="E58" s="3" t="s">
        <v>139</v>
      </c>
      <c r="F58" s="11">
        <f>F57*B9</f>
        <v>127.00586666666666</v>
      </c>
      <c r="G58" s="4" t="s">
        <v>138</v>
      </c>
    </row>
    <row r="59" spans="1:7" x14ac:dyDescent="0.25">
      <c r="E59" s="3" t="s">
        <v>140</v>
      </c>
      <c r="F59" s="11">
        <f>F57*(1-B9)</f>
        <v>22.412800000000004</v>
      </c>
      <c r="G59" s="4" t="s">
        <v>138</v>
      </c>
    </row>
    <row r="60" spans="1:7" x14ac:dyDescent="0.25">
      <c r="E60" s="3" t="s">
        <v>141</v>
      </c>
      <c r="F60" s="12">
        <f>F57*86400/8/1000</f>
        <v>1613.7216000000001</v>
      </c>
      <c r="G60" s="4" t="s">
        <v>142</v>
      </c>
    </row>
    <row r="62" spans="1:7" ht="15" customHeight="1" x14ac:dyDescent="0.25">
      <c r="A62" s="19" t="s">
        <v>143</v>
      </c>
      <c r="B62" s="19"/>
      <c r="C62" s="19"/>
      <c r="D62" s="19"/>
      <c r="E62" s="19"/>
      <c r="F62" s="19"/>
      <c r="G62" s="19"/>
    </row>
    <row r="63" spans="1:7" x14ac:dyDescent="0.25">
      <c r="E63" s="3" t="s">
        <v>144</v>
      </c>
      <c r="F63" s="11">
        <f>CEILING(F53/500,1)</f>
        <v>52</v>
      </c>
      <c r="G63" s="4" t="s">
        <v>145</v>
      </c>
    </row>
    <row r="64" spans="1:7" x14ac:dyDescent="0.25">
      <c r="E64" s="3" t="s">
        <v>146</v>
      </c>
      <c r="F64" s="11">
        <f>F63*3</f>
        <v>156</v>
      </c>
      <c r="G64" s="4" t="s">
        <v>147</v>
      </c>
    </row>
    <row r="65" spans="1:7" x14ac:dyDescent="0.25">
      <c r="E65" s="3" t="s">
        <v>148</v>
      </c>
      <c r="F65" s="11">
        <f>CEILING(F42/1000,1)</f>
        <v>9120</v>
      </c>
      <c r="G65" s="4" t="s">
        <v>147</v>
      </c>
    </row>
    <row r="66" spans="1:7" x14ac:dyDescent="0.25">
      <c r="E66" s="3" t="s">
        <v>149</v>
      </c>
      <c r="F66" s="11">
        <f>MAX(12,CEILING(F47*365*B16/500,1)*3)</f>
        <v>111</v>
      </c>
      <c r="G66" s="4" t="s">
        <v>147</v>
      </c>
    </row>
    <row r="67" spans="1:7" x14ac:dyDescent="0.25">
      <c r="E67" s="3" t="s">
        <v>150</v>
      </c>
      <c r="F67" s="11">
        <f>CEILING(F31*2048/1000000000,1)</f>
        <v>205</v>
      </c>
      <c r="G67" s="4" t="s">
        <v>151</v>
      </c>
    </row>
    <row r="68" spans="1:7" ht="25.5" x14ac:dyDescent="0.25">
      <c r="E68" s="3" t="s">
        <v>152</v>
      </c>
      <c r="F68" s="11">
        <f>CEILING(F67/48,1)*3</f>
        <v>15</v>
      </c>
      <c r="G68" s="4" t="s">
        <v>147</v>
      </c>
    </row>
    <row r="69" spans="1:7" x14ac:dyDescent="0.25">
      <c r="E69" s="3" t="s">
        <v>153</v>
      </c>
      <c r="F69" s="11">
        <f>CEILING(F42/10000,1)</f>
        <v>912</v>
      </c>
      <c r="G69" s="4" t="s">
        <v>154</v>
      </c>
    </row>
    <row r="70" spans="1:7" x14ac:dyDescent="0.25">
      <c r="E70" s="3" t="s">
        <v>155</v>
      </c>
      <c r="F70" s="11">
        <f>MAX(6,CEILING(F69/50,1)*3)</f>
        <v>57</v>
      </c>
      <c r="G70" s="4" t="s">
        <v>147</v>
      </c>
    </row>
    <row r="71" spans="1:7" x14ac:dyDescent="0.25">
      <c r="E71" s="3" t="s">
        <v>156</v>
      </c>
      <c r="F71" s="11">
        <f>CEILING(F42/5000,1)</f>
        <v>1824</v>
      </c>
      <c r="G71" s="4" t="s">
        <v>147</v>
      </c>
    </row>
    <row r="72" spans="1:7" x14ac:dyDescent="0.25">
      <c r="E72" s="3" t="s">
        <v>157</v>
      </c>
      <c r="F72" s="11">
        <f>MAX(4,8)</f>
        <v>8</v>
      </c>
      <c r="G72" s="4" t="s">
        <v>147</v>
      </c>
    </row>
    <row r="73" spans="1:7" x14ac:dyDescent="0.25">
      <c r="E73" s="3" t="s">
        <v>158</v>
      </c>
      <c r="F73" s="12">
        <f>F65+F64+F66+F68+F70+F71+F72</f>
        <v>11291</v>
      </c>
      <c r="G73" s="4" t="s">
        <v>147</v>
      </c>
    </row>
    <row r="75" spans="1:7" ht="15" customHeight="1" x14ac:dyDescent="0.25">
      <c r="A75" s="19" t="s">
        <v>159</v>
      </c>
      <c r="B75" s="19"/>
      <c r="C75" s="19"/>
      <c r="D75" s="19"/>
      <c r="E75" s="19"/>
      <c r="F75" s="19"/>
      <c r="G75" s="19"/>
    </row>
    <row r="76" spans="1:7" x14ac:dyDescent="0.25">
      <c r="E76" s="3" t="s">
        <v>160</v>
      </c>
      <c r="F76" s="11">
        <f>F65*B21*720</f>
        <v>1969920</v>
      </c>
      <c r="G76" s="4" t="s">
        <v>161</v>
      </c>
    </row>
    <row r="77" spans="1:7" x14ac:dyDescent="0.25">
      <c r="E77" s="3" t="s">
        <v>162</v>
      </c>
      <c r="F77" s="11">
        <f>F64*B22*720</f>
        <v>280800</v>
      </c>
      <c r="G77" s="4" t="s">
        <v>161</v>
      </c>
    </row>
    <row r="78" spans="1:7" x14ac:dyDescent="0.25">
      <c r="E78" s="3" t="s">
        <v>163</v>
      </c>
      <c r="F78" s="11">
        <f>F66*B23*720</f>
        <v>143856</v>
      </c>
      <c r="G78" s="4" t="s">
        <v>161</v>
      </c>
    </row>
    <row r="79" spans="1:7" x14ac:dyDescent="0.25">
      <c r="E79" s="3" t="s">
        <v>164</v>
      </c>
      <c r="F79" s="11">
        <f>F53/1000*B24</f>
        <v>593.22111004800001</v>
      </c>
      <c r="G79" s="4" t="s">
        <v>161</v>
      </c>
    </row>
    <row r="80" spans="1:7" x14ac:dyDescent="0.25">
      <c r="E80" s="3" t="s">
        <v>165</v>
      </c>
      <c r="F80" s="11">
        <f>F60*30*B25</f>
        <v>435704.83199999999</v>
      </c>
      <c r="G80" s="4" t="s">
        <v>161</v>
      </c>
    </row>
    <row r="81" spans="1:7" x14ac:dyDescent="0.25">
      <c r="F81" s="11">
        <f>F72*B26*720</f>
        <v>8640</v>
      </c>
      <c r="G81" s="4" t="s">
        <v>161</v>
      </c>
    </row>
    <row r="82" spans="1:7" x14ac:dyDescent="0.25">
      <c r="E82" s="3" t="s">
        <v>166</v>
      </c>
      <c r="F82" s="11">
        <f>F70*0.5*720</f>
        <v>20520</v>
      </c>
      <c r="G82" s="4" t="s">
        <v>161</v>
      </c>
    </row>
    <row r="83" spans="1:7" x14ac:dyDescent="0.25">
      <c r="E83" s="3" t="s">
        <v>167</v>
      </c>
      <c r="F83" s="11">
        <f>F68*0.4*720</f>
        <v>4320</v>
      </c>
      <c r="G83" s="4" t="s">
        <v>161</v>
      </c>
    </row>
    <row r="84" spans="1:7" x14ac:dyDescent="0.25">
      <c r="E84" s="3" t="s">
        <v>168</v>
      </c>
      <c r="F84" s="12">
        <f>F76+F77+F78+F79+F80+F81+F82+F83</f>
        <v>2864354.0531100477</v>
      </c>
      <c r="G84" s="4" t="s">
        <v>161</v>
      </c>
    </row>
    <row r="85" spans="1:7" x14ac:dyDescent="0.25">
      <c r="E85" s="3" t="s">
        <v>169</v>
      </c>
      <c r="F85" s="12">
        <f>F84*12</f>
        <v>34372248.637320571</v>
      </c>
      <c r="G85" s="4" t="s">
        <v>170</v>
      </c>
    </row>
    <row r="86" spans="1:7" x14ac:dyDescent="0.25">
      <c r="E86" s="3" t="s">
        <v>171</v>
      </c>
      <c r="F86" s="11">
        <f>F84/F31</f>
        <v>2.8643540531100478E-2</v>
      </c>
      <c r="G86" s="4" t="s">
        <v>172</v>
      </c>
    </row>
    <row r="89" spans="1:7" ht="15" customHeight="1" x14ac:dyDescent="0.25">
      <c r="A89" s="19" t="s">
        <v>173</v>
      </c>
      <c r="B89" s="19"/>
      <c r="C89" s="19"/>
      <c r="D89" s="19"/>
      <c r="E89" s="19"/>
      <c r="F89" s="19"/>
      <c r="G89" s="19"/>
    </row>
    <row r="90" spans="1:7" x14ac:dyDescent="0.25">
      <c r="A90" s="1" t="s">
        <v>52</v>
      </c>
      <c r="B90" s="1" t="s">
        <v>174</v>
      </c>
      <c r="C90" s="1" t="s">
        <v>175</v>
      </c>
      <c r="D90" s="1" t="s">
        <v>176</v>
      </c>
      <c r="E90" s="1" t="s">
        <v>177</v>
      </c>
      <c r="F90" s="1" t="s">
        <v>50</v>
      </c>
    </row>
    <row r="91" spans="1:7" x14ac:dyDescent="0.25">
      <c r="A91" s="4" t="s">
        <v>178</v>
      </c>
      <c r="B91" s="13">
        <f>F31/1000000*1</f>
        <v>100</v>
      </c>
      <c r="C91" s="13">
        <f>F31/1000000*3</f>
        <v>300</v>
      </c>
      <c r="D91" s="13">
        <f>F31/1000000*5</f>
        <v>500</v>
      </c>
      <c r="E91" s="13">
        <f>F31/1000000*10</f>
        <v>1000</v>
      </c>
      <c r="F91" s="4" t="s">
        <v>56</v>
      </c>
    </row>
    <row r="92" spans="1:7" x14ac:dyDescent="0.25">
      <c r="A92" s="4" t="s">
        <v>112</v>
      </c>
      <c r="B92" s="13">
        <f>F34*1</f>
        <v>3472.2222222222222</v>
      </c>
      <c r="C92" s="13">
        <f>F34*3</f>
        <v>10416.666666666666</v>
      </c>
      <c r="D92" s="13">
        <f>F34*5</f>
        <v>17361.111111111109</v>
      </c>
      <c r="E92" s="13">
        <f>F34*10</f>
        <v>34722.222222222219</v>
      </c>
      <c r="F92" s="4" t="s">
        <v>179</v>
      </c>
    </row>
    <row r="93" spans="1:7" x14ac:dyDescent="0.25">
      <c r="A93" s="4" t="s">
        <v>114</v>
      </c>
      <c r="B93" s="13">
        <f>F35*1</f>
        <v>34722.222222222219</v>
      </c>
      <c r="C93" s="13">
        <f>F35*3</f>
        <v>104166.66666666666</v>
      </c>
      <c r="D93" s="13">
        <f>F35*5</f>
        <v>173611.11111111109</v>
      </c>
      <c r="E93" s="13">
        <f>F35*10</f>
        <v>347222.22222222219</v>
      </c>
      <c r="F93" s="4" t="s">
        <v>179</v>
      </c>
    </row>
    <row r="94" spans="1:7" x14ac:dyDescent="0.25">
      <c r="A94" s="4" t="s">
        <v>115</v>
      </c>
      <c r="B94" s="13">
        <f>F36*1</f>
        <v>3000000</v>
      </c>
      <c r="C94" s="13">
        <f>F36*3</f>
        <v>9000000</v>
      </c>
      <c r="D94" s="13">
        <f>F36*5</f>
        <v>15000000</v>
      </c>
      <c r="E94" s="13">
        <f>F36*10</f>
        <v>30000000</v>
      </c>
      <c r="F94" s="4" t="s">
        <v>180</v>
      </c>
    </row>
    <row r="95" spans="1:7" x14ac:dyDescent="0.25">
      <c r="A95" s="4" t="s">
        <v>121</v>
      </c>
      <c r="B95" s="13">
        <f>F42*1</f>
        <v>9119791.666666666</v>
      </c>
      <c r="C95" s="13">
        <f>F42*3</f>
        <v>27359375</v>
      </c>
      <c r="D95" s="13">
        <f>F42*5</f>
        <v>45598958.333333328</v>
      </c>
      <c r="E95" s="13">
        <f>F42*10</f>
        <v>91197916.666666657</v>
      </c>
      <c r="F95" s="4" t="s">
        <v>179</v>
      </c>
    </row>
    <row r="96" spans="1:7" x14ac:dyDescent="0.25">
      <c r="A96" s="4" t="s">
        <v>181</v>
      </c>
      <c r="B96" s="13">
        <f>F48*1</f>
        <v>18.174800000000001</v>
      </c>
      <c r="C96" s="13">
        <f>F48*3</f>
        <v>54.5244</v>
      </c>
      <c r="D96" s="13">
        <f>F48*5</f>
        <v>90.874000000000009</v>
      </c>
      <c r="E96" s="13">
        <f>F48*10</f>
        <v>181.74800000000002</v>
      </c>
      <c r="F96" s="4" t="s">
        <v>126</v>
      </c>
    </row>
    <row r="97" spans="1:7" x14ac:dyDescent="0.25">
      <c r="A97" s="4" t="s">
        <v>182</v>
      </c>
      <c r="B97" s="13">
        <f>F51*1</f>
        <v>23.554540800000005</v>
      </c>
      <c r="C97" s="13">
        <f>F51*3</f>
        <v>70.663622400000008</v>
      </c>
      <c r="D97" s="13">
        <f>F51*5</f>
        <v>117.77270400000003</v>
      </c>
      <c r="E97" s="13">
        <f>F51*10</f>
        <v>235.54540800000007</v>
      </c>
      <c r="F97" s="4" t="s">
        <v>126</v>
      </c>
    </row>
    <row r="98" spans="1:7" x14ac:dyDescent="0.25">
      <c r="A98" s="4" t="s">
        <v>183</v>
      </c>
      <c r="B98" s="13">
        <f>F52*1</f>
        <v>8597.407392000001</v>
      </c>
      <c r="C98" s="13">
        <f>F52*3</f>
        <v>25792.222176000003</v>
      </c>
      <c r="D98" s="13">
        <f>F52*5</f>
        <v>42987.036960000005</v>
      </c>
      <c r="E98" s="13">
        <f>F52*10</f>
        <v>85974.07392000001</v>
      </c>
      <c r="F98" s="4" t="s">
        <v>126</v>
      </c>
    </row>
    <row r="99" spans="1:7" x14ac:dyDescent="0.25">
      <c r="A99" s="4" t="s">
        <v>184</v>
      </c>
      <c r="B99" s="13">
        <f>F53*1</f>
        <v>25792.222176000003</v>
      </c>
      <c r="C99" s="13">
        <f>F53*3</f>
        <v>77376.666528000002</v>
      </c>
      <c r="D99" s="13">
        <f>F53*5</f>
        <v>128961.11088000002</v>
      </c>
      <c r="E99" s="13">
        <f>F53*10</f>
        <v>257922.22176000004</v>
      </c>
      <c r="F99" s="4" t="s">
        <v>126</v>
      </c>
    </row>
    <row r="100" spans="1:7" x14ac:dyDescent="0.25">
      <c r="A100" s="4" t="s">
        <v>185</v>
      </c>
      <c r="B100" s="13">
        <f>F57*1</f>
        <v>149.41866666666667</v>
      </c>
      <c r="C100" s="13">
        <f>F57*3</f>
        <v>448.25599999999997</v>
      </c>
      <c r="D100" s="13">
        <f>F57*5</f>
        <v>747.09333333333336</v>
      </c>
      <c r="E100" s="13">
        <f>F57*10</f>
        <v>1494.1866666666667</v>
      </c>
      <c r="F100" s="4" t="s">
        <v>138</v>
      </c>
    </row>
    <row r="101" spans="1:7" x14ac:dyDescent="0.25">
      <c r="A101" s="4" t="s">
        <v>148</v>
      </c>
      <c r="B101" s="13">
        <f>F65*1</f>
        <v>9120</v>
      </c>
      <c r="C101" s="13">
        <f>F65*3</f>
        <v>27360</v>
      </c>
      <c r="D101" s="13">
        <f>F65*5</f>
        <v>45600</v>
      </c>
      <c r="E101" s="13">
        <f>F65*10</f>
        <v>91200</v>
      </c>
      <c r="F101" s="4" t="s">
        <v>147</v>
      </c>
    </row>
    <row r="102" spans="1:7" x14ac:dyDescent="0.25">
      <c r="A102" s="4" t="s">
        <v>186</v>
      </c>
      <c r="B102" s="13">
        <f>F64*1</f>
        <v>156</v>
      </c>
      <c r="C102" s="13">
        <f>F64*3</f>
        <v>468</v>
      </c>
      <c r="D102" s="13">
        <f>F64*5</f>
        <v>780</v>
      </c>
      <c r="E102" s="13">
        <f>F64*10</f>
        <v>1560</v>
      </c>
      <c r="F102" s="4" t="s">
        <v>147</v>
      </c>
    </row>
    <row r="103" spans="1:7" x14ac:dyDescent="0.25">
      <c r="A103" s="4" t="s">
        <v>187</v>
      </c>
      <c r="B103" s="13">
        <f>F73*1</f>
        <v>11291</v>
      </c>
      <c r="C103" s="13">
        <f>F73*3</f>
        <v>33873</v>
      </c>
      <c r="D103" s="13">
        <f>F73*5</f>
        <v>56455</v>
      </c>
      <c r="E103" s="13">
        <f>F73*10</f>
        <v>112910</v>
      </c>
      <c r="F103" s="4" t="s">
        <v>147</v>
      </c>
    </row>
    <row r="104" spans="1:7" x14ac:dyDescent="0.25">
      <c r="A104" s="4" t="s">
        <v>188</v>
      </c>
      <c r="B104" s="13">
        <f>F84*1</f>
        <v>2864354.0531100477</v>
      </c>
      <c r="C104" s="13">
        <f>F84*3</f>
        <v>8593062.1593301427</v>
      </c>
      <c r="D104" s="13">
        <f>F84*5</f>
        <v>14321770.265550239</v>
      </c>
      <c r="E104" s="13">
        <f>F84*10</f>
        <v>28643540.531100478</v>
      </c>
      <c r="F104" s="4" t="s">
        <v>189</v>
      </c>
    </row>
    <row r="105" spans="1:7" x14ac:dyDescent="0.25">
      <c r="A105" s="4" t="s">
        <v>190</v>
      </c>
      <c r="B105" s="13">
        <f>F85*1</f>
        <v>34372248.637320571</v>
      </c>
      <c r="C105" s="13">
        <f>F85*3</f>
        <v>103116745.9119617</v>
      </c>
      <c r="D105" s="13">
        <f>F85*5</f>
        <v>171861243.18660286</v>
      </c>
      <c r="E105" s="13">
        <f>F85*10</f>
        <v>343722486.37320572</v>
      </c>
      <c r="F105" s="4" t="s">
        <v>189</v>
      </c>
    </row>
    <row r="108" spans="1:7" ht="15" customHeight="1" x14ac:dyDescent="0.25">
      <c r="A108" s="19" t="s">
        <v>191</v>
      </c>
      <c r="B108" s="19"/>
      <c r="C108" s="19"/>
      <c r="D108" s="19"/>
      <c r="E108" s="19"/>
      <c r="F108" s="19"/>
      <c r="G108" s="19"/>
    </row>
    <row r="109" spans="1:7" ht="15" customHeight="1" x14ac:dyDescent="0.25">
      <c r="A109" s="1" t="s">
        <v>192</v>
      </c>
      <c r="B109" s="1" t="s">
        <v>193</v>
      </c>
      <c r="C109" s="20" t="s">
        <v>194</v>
      </c>
      <c r="D109" s="20"/>
      <c r="E109" s="20"/>
      <c r="F109" s="20"/>
      <c r="G109" s="20"/>
    </row>
    <row r="110" spans="1:7" ht="19.5" customHeight="1" x14ac:dyDescent="0.25">
      <c r="A110" s="5" t="s">
        <v>195</v>
      </c>
      <c r="B110" s="4" t="s">
        <v>196</v>
      </c>
      <c r="C110" s="18" t="s">
        <v>197</v>
      </c>
      <c r="D110" s="18"/>
      <c r="E110" s="18"/>
      <c r="F110" s="18"/>
      <c r="G110" s="18"/>
    </row>
    <row r="111" spans="1:7" ht="19.5" customHeight="1" x14ac:dyDescent="0.25">
      <c r="A111" s="5" t="s">
        <v>198</v>
      </c>
      <c r="B111" s="4" t="s">
        <v>199</v>
      </c>
      <c r="C111" s="18" t="s">
        <v>200</v>
      </c>
      <c r="D111" s="18"/>
      <c r="E111" s="18"/>
      <c r="F111" s="18"/>
      <c r="G111" s="18"/>
    </row>
    <row r="112" spans="1:7" ht="19.5" customHeight="1" x14ac:dyDescent="0.25">
      <c r="A112" s="5" t="s">
        <v>201</v>
      </c>
      <c r="B112" s="4" t="s">
        <v>202</v>
      </c>
      <c r="C112" s="18" t="s">
        <v>203</v>
      </c>
      <c r="D112" s="18"/>
      <c r="E112" s="18"/>
      <c r="F112" s="18"/>
      <c r="G112" s="18"/>
    </row>
    <row r="113" spans="1:7" ht="19.5" customHeight="1" x14ac:dyDescent="0.25">
      <c r="A113" s="5" t="s">
        <v>204</v>
      </c>
      <c r="B113" s="4" t="s">
        <v>205</v>
      </c>
      <c r="C113" s="18" t="s">
        <v>206</v>
      </c>
      <c r="D113" s="18"/>
      <c r="E113" s="18"/>
      <c r="F113" s="18"/>
      <c r="G113" s="18"/>
    </row>
    <row r="114" spans="1:7" ht="19.5" customHeight="1" x14ac:dyDescent="0.25">
      <c r="A114" s="5" t="s">
        <v>207</v>
      </c>
      <c r="B114" s="4" t="s">
        <v>208</v>
      </c>
      <c r="C114" s="18" t="s">
        <v>209</v>
      </c>
      <c r="D114" s="18"/>
      <c r="E114" s="18"/>
      <c r="F114" s="18"/>
      <c r="G114" s="18"/>
    </row>
    <row r="115" spans="1:7" ht="19.5" customHeight="1" x14ac:dyDescent="0.25">
      <c r="A115" s="5" t="s">
        <v>210</v>
      </c>
      <c r="B115" s="4" t="s">
        <v>211</v>
      </c>
      <c r="C115" s="18" t="s">
        <v>212</v>
      </c>
      <c r="D115" s="18"/>
      <c r="E115" s="18"/>
      <c r="F115" s="18"/>
      <c r="G115" s="18"/>
    </row>
    <row r="116" spans="1:7" ht="19.5" customHeight="1" x14ac:dyDescent="0.25">
      <c r="A116" s="5" t="s">
        <v>213</v>
      </c>
      <c r="B116" s="4" t="s">
        <v>214</v>
      </c>
      <c r="C116" s="18" t="s">
        <v>215</v>
      </c>
      <c r="D116" s="18"/>
      <c r="E116" s="18"/>
      <c r="F116" s="18"/>
      <c r="G116" s="18"/>
    </row>
    <row r="117" spans="1:7" ht="19.5" customHeight="1" x14ac:dyDescent="0.25">
      <c r="A117" s="5" t="s">
        <v>216</v>
      </c>
      <c r="B117" s="4" t="s">
        <v>217</v>
      </c>
      <c r="C117" s="18" t="s">
        <v>218</v>
      </c>
      <c r="D117" s="18"/>
      <c r="E117" s="18"/>
      <c r="F117" s="18"/>
      <c r="G117" s="18"/>
    </row>
    <row r="118" spans="1:7" ht="19.5" customHeight="1" x14ac:dyDescent="0.25">
      <c r="A118" s="5" t="s">
        <v>219</v>
      </c>
      <c r="B118" s="4" t="s">
        <v>220</v>
      </c>
      <c r="C118" s="18" t="s">
        <v>221</v>
      </c>
      <c r="D118" s="18"/>
      <c r="E118" s="18"/>
      <c r="F118" s="18"/>
      <c r="G118" s="18"/>
    </row>
    <row r="119" spans="1:7" ht="19.5" customHeight="1" x14ac:dyDescent="0.25">
      <c r="A119" s="5" t="s">
        <v>222</v>
      </c>
      <c r="B119" s="4" t="s">
        <v>223</v>
      </c>
      <c r="C119" s="18" t="s">
        <v>224</v>
      </c>
      <c r="D119" s="18"/>
      <c r="E119" s="18"/>
      <c r="F119" s="18"/>
      <c r="G119" s="18"/>
    </row>
    <row r="120" spans="1:7" ht="19.5" customHeight="1" x14ac:dyDescent="0.25">
      <c r="A120" s="5" t="s">
        <v>225</v>
      </c>
      <c r="B120" s="4" t="s">
        <v>226</v>
      </c>
      <c r="C120" s="18" t="s">
        <v>227</v>
      </c>
      <c r="D120" s="18"/>
      <c r="E120" s="18"/>
      <c r="F120" s="18"/>
      <c r="G120" s="18"/>
    </row>
    <row r="121" spans="1:7" ht="19.5" customHeight="1" x14ac:dyDescent="0.25">
      <c r="A121" s="5" t="s">
        <v>228</v>
      </c>
      <c r="B121" s="4" t="s">
        <v>229</v>
      </c>
      <c r="C121" s="18" t="s">
        <v>230</v>
      </c>
      <c r="D121" s="18"/>
      <c r="E121" s="18"/>
      <c r="F121" s="18"/>
      <c r="G121" s="18"/>
    </row>
    <row r="122" spans="1:7" ht="19.5" customHeight="1" x14ac:dyDescent="0.25">
      <c r="A122" s="5" t="s">
        <v>231</v>
      </c>
      <c r="B122" s="4" t="s">
        <v>232</v>
      </c>
      <c r="C122" s="18" t="s">
        <v>233</v>
      </c>
      <c r="D122" s="18"/>
      <c r="E122" s="18"/>
      <c r="F122" s="18"/>
      <c r="G122" s="18"/>
    </row>
    <row r="123" spans="1:7" ht="19.5" customHeight="1" x14ac:dyDescent="0.25">
      <c r="A123" s="5" t="s">
        <v>234</v>
      </c>
      <c r="B123" s="4" t="s">
        <v>235</v>
      </c>
      <c r="C123" s="18" t="s">
        <v>236</v>
      </c>
      <c r="D123" s="18"/>
      <c r="E123" s="18"/>
      <c r="F123" s="18"/>
      <c r="G123" s="18"/>
    </row>
    <row r="124" spans="1:7" ht="19.5" customHeight="1" x14ac:dyDescent="0.25">
      <c r="A124" s="5" t="s">
        <v>237</v>
      </c>
      <c r="B124" s="4" t="s">
        <v>238</v>
      </c>
      <c r="C124" s="18" t="s">
        <v>239</v>
      </c>
      <c r="D124" s="18"/>
      <c r="E124" s="18"/>
      <c r="F124" s="18"/>
      <c r="G124" s="18"/>
    </row>
    <row r="125" spans="1:7" ht="19.5" customHeight="1" x14ac:dyDescent="0.25">
      <c r="A125" s="5" t="s">
        <v>240</v>
      </c>
      <c r="B125" s="4" t="s">
        <v>241</v>
      </c>
      <c r="C125" s="18" t="s">
        <v>242</v>
      </c>
      <c r="D125" s="18"/>
      <c r="E125" s="18"/>
      <c r="F125" s="18"/>
      <c r="G125" s="18"/>
    </row>
    <row r="126" spans="1:7" ht="19.5" customHeight="1" x14ac:dyDescent="0.25">
      <c r="A126" s="5" t="s">
        <v>243</v>
      </c>
      <c r="B126" s="4" t="s">
        <v>244</v>
      </c>
      <c r="C126" s="18" t="s">
        <v>245</v>
      </c>
      <c r="D126" s="18"/>
      <c r="E126" s="18"/>
      <c r="F126" s="18"/>
      <c r="G126" s="18"/>
    </row>
    <row r="127" spans="1:7" ht="19.5" customHeight="1" x14ac:dyDescent="0.25">
      <c r="A127" s="5" t="s">
        <v>246</v>
      </c>
      <c r="B127" s="4" t="s">
        <v>247</v>
      </c>
      <c r="C127" s="18" t="s">
        <v>248</v>
      </c>
      <c r="D127" s="18"/>
      <c r="E127" s="18"/>
      <c r="F127" s="18"/>
      <c r="G127" s="18"/>
    </row>
  </sheetData>
  <mergeCells count="32">
    <mergeCell ref="A1:G1"/>
    <mergeCell ref="A3:D3"/>
    <mergeCell ref="A4:D4"/>
    <mergeCell ref="A12:D12"/>
    <mergeCell ref="A20:D20"/>
    <mergeCell ref="A29:G29"/>
    <mergeCell ref="A30:G30"/>
    <mergeCell ref="A44:G44"/>
    <mergeCell ref="A56:G56"/>
    <mergeCell ref="A62:G62"/>
    <mergeCell ref="A75:G75"/>
    <mergeCell ref="A89:G89"/>
    <mergeCell ref="A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6:G126"/>
    <mergeCell ref="C127:G127"/>
    <mergeCell ref="C121:G121"/>
    <mergeCell ref="C122:G122"/>
    <mergeCell ref="C123:G123"/>
    <mergeCell ref="C124:G124"/>
    <mergeCell ref="C125:G1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sqref="A1:G1"/>
    </sheetView>
  </sheetViews>
  <sheetFormatPr defaultColWidth="8.7109375" defaultRowHeight="15" x14ac:dyDescent="0.25"/>
  <cols>
    <col min="1" max="1" width="5" customWidth="1"/>
    <col min="2" max="3" width="22" customWidth="1"/>
    <col min="4" max="4" width="25" customWidth="1"/>
    <col min="5" max="5" width="15" customWidth="1"/>
    <col min="6" max="7" width="22" customWidth="1"/>
  </cols>
  <sheetData>
    <row r="1" spans="1:7" ht="17.45" customHeight="1" x14ac:dyDescent="0.25">
      <c r="A1" s="22" t="s">
        <v>249</v>
      </c>
      <c r="B1" s="22"/>
      <c r="C1" s="22"/>
      <c r="D1" s="22"/>
      <c r="E1" s="22"/>
      <c r="F1" s="22"/>
      <c r="G1" s="22"/>
    </row>
    <row r="2" spans="1:7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</row>
    <row r="3" spans="1:7" ht="21.75" customHeight="1" x14ac:dyDescent="0.25">
      <c r="A3" s="14">
        <v>1</v>
      </c>
      <c r="B3" s="15" t="s">
        <v>257</v>
      </c>
      <c r="C3" s="15" t="s">
        <v>258</v>
      </c>
      <c r="D3" s="15" t="s">
        <v>259</v>
      </c>
      <c r="E3" s="15" t="s">
        <v>260</v>
      </c>
      <c r="F3" s="15" t="s">
        <v>261</v>
      </c>
      <c r="G3" s="15" t="s">
        <v>262</v>
      </c>
    </row>
    <row r="4" spans="1:7" ht="21.75" customHeight="1" x14ac:dyDescent="0.25">
      <c r="A4" s="14">
        <v>2</v>
      </c>
      <c r="B4" s="15" t="s">
        <v>263</v>
      </c>
      <c r="C4" s="15" t="s">
        <v>264</v>
      </c>
      <c r="D4" s="15" t="s">
        <v>265</v>
      </c>
      <c r="E4" s="15" t="s">
        <v>266</v>
      </c>
      <c r="F4" s="15" t="s">
        <v>267</v>
      </c>
      <c r="G4" s="15" t="s">
        <v>268</v>
      </c>
    </row>
    <row r="5" spans="1:7" ht="21.75" customHeight="1" x14ac:dyDescent="0.25">
      <c r="A5" s="14">
        <v>3</v>
      </c>
      <c r="B5" s="15" t="s">
        <v>269</v>
      </c>
      <c r="C5" s="15" t="s">
        <v>207</v>
      </c>
      <c r="D5" s="15" t="s">
        <v>270</v>
      </c>
      <c r="E5" s="15" t="s">
        <v>271</v>
      </c>
      <c r="F5" s="15" t="s">
        <v>272</v>
      </c>
      <c r="G5" s="15" t="s">
        <v>273</v>
      </c>
    </row>
    <row r="6" spans="1:7" ht="21.75" customHeight="1" x14ac:dyDescent="0.25">
      <c r="A6" s="14">
        <v>4</v>
      </c>
      <c r="B6" s="15" t="s">
        <v>274</v>
      </c>
      <c r="C6" s="15" t="s">
        <v>275</v>
      </c>
      <c r="D6" s="15" t="s">
        <v>276</v>
      </c>
      <c r="E6" s="15" t="s">
        <v>277</v>
      </c>
      <c r="F6" s="15" t="s">
        <v>278</v>
      </c>
      <c r="G6" s="15" t="s">
        <v>279</v>
      </c>
    </row>
    <row r="7" spans="1:7" ht="21.75" customHeight="1" x14ac:dyDescent="0.25">
      <c r="A7" s="14">
        <v>5</v>
      </c>
      <c r="B7" s="15" t="s">
        <v>210</v>
      </c>
      <c r="C7" s="15" t="s">
        <v>280</v>
      </c>
      <c r="D7" s="15" t="s">
        <v>281</v>
      </c>
      <c r="E7" s="15" t="s">
        <v>260</v>
      </c>
      <c r="F7" s="15" t="s">
        <v>282</v>
      </c>
      <c r="G7" s="15" t="s">
        <v>279</v>
      </c>
    </row>
    <row r="8" spans="1:7" ht="21.75" customHeight="1" x14ac:dyDescent="0.25">
      <c r="A8" s="14">
        <v>6</v>
      </c>
      <c r="B8" s="15" t="s">
        <v>283</v>
      </c>
      <c r="C8" s="15" t="s">
        <v>213</v>
      </c>
      <c r="D8" s="15" t="s">
        <v>284</v>
      </c>
      <c r="E8" s="15" t="s">
        <v>260</v>
      </c>
      <c r="F8" s="15" t="s">
        <v>285</v>
      </c>
      <c r="G8" s="15" t="s">
        <v>286</v>
      </c>
    </row>
    <row r="9" spans="1:7" ht="21.75" customHeight="1" x14ac:dyDescent="0.25">
      <c r="A9" s="14">
        <v>7</v>
      </c>
      <c r="B9" s="15" t="s">
        <v>219</v>
      </c>
      <c r="C9" s="15" t="s">
        <v>287</v>
      </c>
      <c r="D9" s="15" t="s">
        <v>288</v>
      </c>
      <c r="E9" s="15" t="s">
        <v>289</v>
      </c>
      <c r="F9" s="15" t="s">
        <v>290</v>
      </c>
      <c r="G9" s="15" t="s">
        <v>291</v>
      </c>
    </row>
    <row r="10" spans="1:7" ht="21.75" customHeight="1" x14ac:dyDescent="0.25">
      <c r="A10" s="14">
        <v>8</v>
      </c>
      <c r="B10" s="15" t="s">
        <v>292</v>
      </c>
      <c r="C10" s="15" t="s">
        <v>293</v>
      </c>
      <c r="D10" s="15" t="s">
        <v>294</v>
      </c>
      <c r="E10" s="15" t="s">
        <v>295</v>
      </c>
      <c r="F10" s="15" t="s">
        <v>296</v>
      </c>
      <c r="G10" s="15" t="s">
        <v>297</v>
      </c>
    </row>
    <row r="11" spans="1:7" ht="21.75" customHeight="1" x14ac:dyDescent="0.25">
      <c r="A11" s="14">
        <v>9</v>
      </c>
      <c r="B11" s="15" t="s">
        <v>298</v>
      </c>
      <c r="C11" s="15" t="s">
        <v>213</v>
      </c>
      <c r="D11" s="15" t="s">
        <v>299</v>
      </c>
      <c r="E11" s="15" t="s">
        <v>277</v>
      </c>
      <c r="F11" s="15" t="s">
        <v>300</v>
      </c>
      <c r="G11" s="15" t="s">
        <v>301</v>
      </c>
    </row>
    <row r="12" spans="1:7" ht="21.75" customHeight="1" x14ac:dyDescent="0.25">
      <c r="A12" s="14">
        <v>10</v>
      </c>
      <c r="B12" s="15" t="s">
        <v>302</v>
      </c>
      <c r="C12" s="15" t="s">
        <v>303</v>
      </c>
      <c r="D12" s="15" t="s">
        <v>304</v>
      </c>
      <c r="E12" s="15" t="s">
        <v>305</v>
      </c>
      <c r="F12" s="15" t="s">
        <v>306</v>
      </c>
      <c r="G12" s="15" t="s">
        <v>307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28" customWidth="1"/>
    <col min="2" max="2" width="50" customWidth="1"/>
    <col min="3" max="3" width="40" customWidth="1"/>
  </cols>
  <sheetData>
    <row r="1" spans="1:3" ht="18" x14ac:dyDescent="0.25">
      <c r="A1" s="22" t="s">
        <v>308</v>
      </c>
      <c r="B1" s="22"/>
      <c r="C1" s="22"/>
    </row>
    <row r="2" spans="1:3" x14ac:dyDescent="0.25">
      <c r="A2" s="1" t="s">
        <v>309</v>
      </c>
      <c r="B2" s="1" t="s">
        <v>310</v>
      </c>
      <c r="C2" s="1" t="s">
        <v>311</v>
      </c>
    </row>
    <row r="3" spans="1:3" ht="25.5" x14ac:dyDescent="0.25">
      <c r="A3" s="16" t="s">
        <v>178</v>
      </c>
      <c r="B3" s="15" t="s">
        <v>312</v>
      </c>
      <c r="C3" s="17" t="s">
        <v>313</v>
      </c>
    </row>
    <row r="4" spans="1:3" ht="25.5" x14ac:dyDescent="0.25">
      <c r="A4" s="16" t="s">
        <v>314</v>
      </c>
      <c r="B4" s="15" t="s">
        <v>315</v>
      </c>
      <c r="C4" s="17" t="s">
        <v>316</v>
      </c>
    </row>
    <row r="5" spans="1:3" ht="25.5" x14ac:dyDescent="0.25">
      <c r="A5" s="16" t="s">
        <v>317</v>
      </c>
      <c r="B5" s="15" t="s">
        <v>318</v>
      </c>
      <c r="C5" s="17" t="s">
        <v>319</v>
      </c>
    </row>
    <row r="6" spans="1:3" ht="25.5" x14ac:dyDescent="0.25">
      <c r="A6" s="16" t="s">
        <v>320</v>
      </c>
      <c r="B6" s="15" t="s">
        <v>321</v>
      </c>
      <c r="C6" s="17" t="s">
        <v>322</v>
      </c>
    </row>
    <row r="7" spans="1:3" ht="25.5" x14ac:dyDescent="0.25">
      <c r="A7" s="16" t="s">
        <v>323</v>
      </c>
      <c r="B7" s="15" t="s">
        <v>324</v>
      </c>
      <c r="C7" s="17" t="s">
        <v>325</v>
      </c>
    </row>
    <row r="8" spans="1:3" ht="25.5" x14ac:dyDescent="0.25">
      <c r="A8" s="16" t="s">
        <v>326</v>
      </c>
      <c r="B8" s="15" t="s">
        <v>327</v>
      </c>
      <c r="C8" s="17" t="s">
        <v>328</v>
      </c>
    </row>
    <row r="9" spans="1:3" x14ac:dyDescent="0.25">
      <c r="A9" s="16" t="s">
        <v>115</v>
      </c>
      <c r="B9" s="15" t="s">
        <v>329</v>
      </c>
      <c r="C9" s="17" t="s">
        <v>330</v>
      </c>
    </row>
    <row r="10" spans="1:3" x14ac:dyDescent="0.25">
      <c r="A10" s="16" t="s">
        <v>331</v>
      </c>
      <c r="B10" s="15" t="s">
        <v>332</v>
      </c>
      <c r="C10" s="17" t="s">
        <v>333</v>
      </c>
    </row>
    <row r="11" spans="1:3" ht="25.5" x14ac:dyDescent="0.25">
      <c r="A11" s="16" t="s">
        <v>82</v>
      </c>
      <c r="B11" s="15" t="s">
        <v>334</v>
      </c>
      <c r="C11" s="17" t="s">
        <v>335</v>
      </c>
    </row>
    <row r="12" spans="1:3" ht="25.5" x14ac:dyDescent="0.25">
      <c r="A12" s="16" t="s">
        <v>67</v>
      </c>
      <c r="B12" s="15" t="s">
        <v>336</v>
      </c>
      <c r="C12" s="17" t="s">
        <v>337</v>
      </c>
    </row>
    <row r="13" spans="1:3" ht="25.5" x14ac:dyDescent="0.25">
      <c r="A13" s="16" t="s">
        <v>338</v>
      </c>
      <c r="B13" s="15" t="s">
        <v>339</v>
      </c>
      <c r="C13" s="17" t="s">
        <v>340</v>
      </c>
    </row>
    <row r="14" spans="1:3" ht="25.5" x14ac:dyDescent="0.25">
      <c r="A14" s="16" t="s">
        <v>341</v>
      </c>
      <c r="B14" s="15" t="s">
        <v>342</v>
      </c>
      <c r="C14" s="17" t="s">
        <v>343</v>
      </c>
    </row>
    <row r="15" spans="1:3" ht="25.5" x14ac:dyDescent="0.25">
      <c r="A15" s="16" t="s">
        <v>344</v>
      </c>
      <c r="B15" s="15" t="s">
        <v>345</v>
      </c>
      <c r="C15" s="17" t="s">
        <v>346</v>
      </c>
    </row>
    <row r="16" spans="1:3" ht="25.5" x14ac:dyDescent="0.25">
      <c r="A16" s="16" t="s">
        <v>347</v>
      </c>
      <c r="B16" s="15" t="s">
        <v>348</v>
      </c>
      <c r="C16" s="17" t="s">
        <v>349</v>
      </c>
    </row>
    <row r="17" spans="1:3" ht="25.5" x14ac:dyDescent="0.25">
      <c r="A17" s="16" t="s">
        <v>350</v>
      </c>
      <c r="B17" s="15" t="s">
        <v>351</v>
      </c>
      <c r="C17" s="17" t="s">
        <v>352</v>
      </c>
    </row>
    <row r="18" spans="1:3" ht="25.5" x14ac:dyDescent="0.25">
      <c r="A18" s="16" t="s">
        <v>210</v>
      </c>
      <c r="B18" s="15" t="s">
        <v>353</v>
      </c>
      <c r="C18" s="17" t="s">
        <v>354</v>
      </c>
    </row>
    <row r="19" spans="1:3" ht="25.5" x14ac:dyDescent="0.25">
      <c r="A19" s="16" t="s">
        <v>355</v>
      </c>
      <c r="B19" s="15" t="s">
        <v>356</v>
      </c>
      <c r="C19" s="17" t="s">
        <v>357</v>
      </c>
    </row>
    <row r="20" spans="1:3" ht="25.5" x14ac:dyDescent="0.25">
      <c r="A20" s="16" t="s">
        <v>358</v>
      </c>
      <c r="B20" s="15" t="s">
        <v>359</v>
      </c>
      <c r="C20" s="17" t="s">
        <v>360</v>
      </c>
    </row>
    <row r="21" spans="1:3" ht="25.5" x14ac:dyDescent="0.25">
      <c r="A21" s="16" t="s">
        <v>361</v>
      </c>
      <c r="B21" s="15" t="s">
        <v>362</v>
      </c>
      <c r="C21" s="17" t="s">
        <v>363</v>
      </c>
    </row>
    <row r="22" spans="1:3" ht="25.5" x14ac:dyDescent="0.25">
      <c r="A22" s="16" t="s">
        <v>364</v>
      </c>
      <c r="B22" s="15" t="s">
        <v>365</v>
      </c>
      <c r="C22" s="17" t="s">
        <v>366</v>
      </c>
    </row>
    <row r="23" spans="1:3" ht="25.5" x14ac:dyDescent="0.25">
      <c r="A23" s="16" t="s">
        <v>367</v>
      </c>
      <c r="B23" s="15" t="s">
        <v>368</v>
      </c>
      <c r="C23" s="17" t="s">
        <v>369</v>
      </c>
    </row>
    <row r="24" spans="1:3" ht="25.5" x14ac:dyDescent="0.25">
      <c r="A24" s="16" t="s">
        <v>370</v>
      </c>
      <c r="B24" s="15" t="s">
        <v>371</v>
      </c>
      <c r="C24" s="17" t="s">
        <v>313</v>
      </c>
    </row>
    <row r="25" spans="1:3" ht="25.5" x14ac:dyDescent="0.25">
      <c r="A25" s="16" t="s">
        <v>372</v>
      </c>
      <c r="B25" s="15" t="s">
        <v>373</v>
      </c>
      <c r="C25" s="17" t="s">
        <v>313</v>
      </c>
    </row>
    <row r="26" spans="1:3" ht="25.5" x14ac:dyDescent="0.25">
      <c r="A26" s="16" t="s">
        <v>374</v>
      </c>
      <c r="B26" s="15" t="s">
        <v>375</v>
      </c>
      <c r="C26" s="17" t="s">
        <v>376</v>
      </c>
    </row>
    <row r="27" spans="1:3" ht="25.5" x14ac:dyDescent="0.25">
      <c r="A27" s="16" t="s">
        <v>377</v>
      </c>
      <c r="B27" s="15" t="s">
        <v>378</v>
      </c>
      <c r="C27" s="17" t="s">
        <v>379</v>
      </c>
    </row>
    <row r="28" spans="1:3" ht="25.5" x14ac:dyDescent="0.25">
      <c r="A28" s="16" t="s">
        <v>380</v>
      </c>
      <c r="B28" s="15" t="s">
        <v>381</v>
      </c>
      <c r="C28" s="17" t="s">
        <v>382</v>
      </c>
    </row>
    <row r="29" spans="1:3" ht="25.5" x14ac:dyDescent="0.25">
      <c r="A29" s="16" t="s">
        <v>383</v>
      </c>
      <c r="B29" s="15" t="s">
        <v>384</v>
      </c>
      <c r="C29" s="17" t="s">
        <v>385</v>
      </c>
    </row>
    <row r="30" spans="1:3" ht="25.5" x14ac:dyDescent="0.25">
      <c r="A30" s="16" t="s">
        <v>386</v>
      </c>
      <c r="B30" s="15" t="s">
        <v>387</v>
      </c>
      <c r="C30" s="17" t="s">
        <v>388</v>
      </c>
    </row>
    <row r="31" spans="1:3" ht="25.5" x14ac:dyDescent="0.25">
      <c r="A31" s="16" t="s">
        <v>389</v>
      </c>
      <c r="B31" s="15" t="s">
        <v>390</v>
      </c>
      <c r="C31" s="17" t="s">
        <v>391</v>
      </c>
    </row>
    <row r="32" spans="1:3" ht="25.5" x14ac:dyDescent="0.25">
      <c r="A32" s="16" t="s">
        <v>392</v>
      </c>
      <c r="B32" s="15" t="s">
        <v>393</v>
      </c>
      <c r="C32" s="17" t="s">
        <v>394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Capacity Plan</vt:lpstr>
      <vt:lpstr>Pipeline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 Lekshmikutty Sasidharan</cp:lastModifiedBy>
  <cp:revision>0</cp:revision>
  <dcterms:created xsi:type="dcterms:W3CDTF">2026-06-13T22:12:03Z</dcterms:created>
  <dcterms:modified xsi:type="dcterms:W3CDTF">2026-06-13T22:36:07Z</dcterms:modified>
  <dc:language>en-US</dc:language>
</cp:coreProperties>
</file>